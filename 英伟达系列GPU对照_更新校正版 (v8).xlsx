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速览对比" sheetId="1" state="visible" r:id="rId2"/>
    <sheet name="选型对比" sheetId="2" state="visible" r:id="rId3"/>
    <sheet name="数值数据" sheetId="3" state="visible" r:id="rId4"/>
    <sheet name="校对与更新说明" sheetId="4" state="visible" r:id="rId5"/>
  </sheets>
  <definedNames>
    <definedName function="false" hidden="false" name="型号列表" vbProcedure="false">速览对比!$A$2:$A$63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<sst xmlns="http://schemas.openxmlformats.org/spreadsheetml/2006/main" count="2295" uniqueCount="1099">
  <si>
    <t xml:space="preserve">型号</t>
  </si>
  <si>
    <t xml:space="preserve">架构代际</t>
  </si>
  <si>
    <r>
      <rPr>
        <b val="true"/>
        <sz val="10"/>
        <color rgb="FFFFFFFF"/>
        <rFont val="微软雅黑"/>
        <family val="0"/>
        <charset val="1"/>
      </rPr>
      <t xml:space="preserve">GPU </t>
    </r>
    <r>
      <rPr>
        <b val="true"/>
        <sz val="10"/>
        <color rgb="FFFFFFFF"/>
        <rFont val="Noto Sans CJK SC"/>
        <family val="2"/>
        <charset val="1"/>
      </rPr>
      <t xml:space="preserve">芯片</t>
    </r>
  </si>
  <si>
    <t xml:space="preserve">分类</t>
  </si>
  <si>
    <r>
      <rPr>
        <b val="true"/>
        <sz val="10"/>
        <color rgb="FFFFFFFF"/>
        <rFont val="微软雅黑"/>
        <family val="0"/>
        <charset val="1"/>
      </rPr>
      <t xml:space="preserve">CUDA </t>
    </r>
    <r>
      <rPr>
        <b val="true"/>
        <sz val="10"/>
        <color rgb="FFFFFFFF"/>
        <rFont val="Noto Sans CJK SC"/>
        <family val="2"/>
        <charset val="1"/>
      </rPr>
      <t xml:space="preserve">核心</t>
    </r>
  </si>
  <si>
    <r>
      <rPr>
        <b val="true"/>
        <sz val="10"/>
        <color rgb="FFFFFFFF"/>
        <rFont val="微软雅黑"/>
        <family val="0"/>
        <charset val="1"/>
      </rPr>
      <t xml:space="preserve">Tensor </t>
    </r>
    <r>
      <rPr>
        <b val="true"/>
        <sz val="10"/>
        <color rgb="FFFFFFFF"/>
        <rFont val="Noto Sans CJK SC"/>
        <family val="2"/>
        <charset val="1"/>
      </rPr>
      <t xml:space="preserve">核心</t>
    </r>
  </si>
  <si>
    <t xml:space="preserve">FP32</t>
  </si>
  <si>
    <r>
      <rPr>
        <b val="true"/>
        <sz val="10"/>
        <color rgb="FFFFFFFF"/>
        <rFont val="微软雅黑"/>
        <family val="0"/>
        <charset val="1"/>
      </rPr>
      <t xml:space="preserve">FP16 </t>
    </r>
    <r>
      <rPr>
        <b val="true"/>
        <sz val="10"/>
        <color rgb="FFFFFFFF"/>
        <rFont val="Noto Sans CJK SC"/>
        <family val="2"/>
        <charset val="1"/>
      </rPr>
      <t xml:space="preserve">非</t>
    </r>
    <r>
      <rPr>
        <b val="true"/>
        <sz val="10"/>
        <color rgb="FFFFFFFF"/>
        <rFont val="微软雅黑"/>
        <family val="0"/>
        <charset val="1"/>
      </rPr>
      <t xml:space="preserve">Tensor</t>
    </r>
  </si>
  <si>
    <r>
      <rPr>
        <b val="true"/>
        <sz val="10"/>
        <color rgb="FFFFFFFF"/>
        <rFont val="微软雅黑"/>
        <family val="0"/>
        <charset val="1"/>
      </rPr>
      <t xml:space="preserve">FP16 Tensor </t>
    </r>
    <r>
      <rPr>
        <b val="true"/>
        <sz val="10"/>
        <color rgb="FFFFFFFF"/>
        <rFont val="Noto Sans CJK SC"/>
        <family val="2"/>
        <charset val="1"/>
      </rPr>
      <t xml:space="preserve">稠密</t>
    </r>
  </si>
  <si>
    <r>
      <rPr>
        <b val="true"/>
        <sz val="10"/>
        <color rgb="FFFFFFFF"/>
        <rFont val="微软雅黑"/>
        <family val="0"/>
        <charset val="1"/>
      </rPr>
      <t xml:space="preserve">FP16 Tensor </t>
    </r>
    <r>
      <rPr>
        <b val="true"/>
        <sz val="10"/>
        <color rgb="FFFFFFFF"/>
        <rFont val="Noto Sans CJK SC"/>
        <family val="2"/>
        <charset val="1"/>
      </rPr>
      <t xml:space="preserve">稀疏</t>
    </r>
  </si>
  <si>
    <r>
      <rPr>
        <b val="true"/>
        <sz val="10"/>
        <color rgb="FFFFFFFF"/>
        <rFont val="微软雅黑"/>
        <family val="0"/>
        <charset val="1"/>
      </rPr>
      <t xml:space="preserve">TF32 Tensor </t>
    </r>
    <r>
      <rPr>
        <b val="true"/>
        <sz val="10"/>
        <color rgb="FFFFFFFF"/>
        <rFont val="Noto Sans CJK SC"/>
        <family val="2"/>
        <charset val="1"/>
      </rPr>
      <t xml:space="preserve">稠密</t>
    </r>
  </si>
  <si>
    <r>
      <rPr>
        <b val="true"/>
        <sz val="10"/>
        <color rgb="FFFFFFFF"/>
        <rFont val="微软雅黑"/>
        <family val="0"/>
        <charset val="1"/>
      </rPr>
      <t xml:space="preserve">TF32 Tensor </t>
    </r>
    <r>
      <rPr>
        <b val="true"/>
        <sz val="10"/>
        <color rgb="FFFFFFFF"/>
        <rFont val="Noto Sans CJK SC"/>
        <family val="2"/>
        <charset val="1"/>
      </rPr>
      <t xml:space="preserve">稀疏</t>
    </r>
  </si>
  <si>
    <r>
      <rPr>
        <b val="true"/>
        <sz val="10"/>
        <color rgb="FFFFFFFF"/>
        <rFont val="微软雅黑"/>
        <family val="0"/>
        <charset val="1"/>
      </rPr>
      <t xml:space="preserve">FP64 </t>
    </r>
    <r>
      <rPr>
        <b val="true"/>
        <sz val="10"/>
        <color rgb="FFFFFFFF"/>
        <rFont val="Noto Sans CJK SC"/>
        <family val="2"/>
        <charset val="1"/>
      </rPr>
      <t xml:space="preserve">非</t>
    </r>
    <r>
      <rPr>
        <b val="true"/>
        <sz val="10"/>
        <color rgb="FFFFFFFF"/>
        <rFont val="微软雅黑"/>
        <family val="0"/>
        <charset val="1"/>
      </rPr>
      <t xml:space="preserve">Tensor</t>
    </r>
  </si>
  <si>
    <t xml:space="preserve">FP64 Tensor</t>
  </si>
  <si>
    <r>
      <rPr>
        <b val="true"/>
        <sz val="10"/>
        <color rgb="FFFFFFFF"/>
        <rFont val="微软雅黑"/>
        <family val="0"/>
        <charset val="1"/>
      </rPr>
      <t xml:space="preserve">INT8 </t>
    </r>
    <r>
      <rPr>
        <b val="true"/>
        <sz val="10"/>
        <color rgb="FFFFFFFF"/>
        <rFont val="Noto Sans CJK SC"/>
        <family val="2"/>
        <charset val="1"/>
      </rPr>
      <t xml:space="preserve">峰值</t>
    </r>
  </si>
  <si>
    <r>
      <rPr>
        <b val="true"/>
        <sz val="10"/>
        <color rgb="FFFFFFFF"/>
        <rFont val="微软雅黑"/>
        <family val="0"/>
        <charset val="1"/>
      </rPr>
      <t xml:space="preserve">INT4/FP8/FP4 </t>
    </r>
    <r>
      <rPr>
        <b val="true"/>
        <sz val="10"/>
        <color rgb="FFFFFFFF"/>
        <rFont val="Noto Sans CJK SC"/>
        <family val="2"/>
        <charset val="1"/>
      </rPr>
      <t xml:space="preserve">峰值</t>
    </r>
  </si>
  <si>
    <t xml:space="preserve">低精度类型</t>
  </si>
  <si>
    <r>
      <rPr>
        <b val="true"/>
        <sz val="10"/>
        <color rgb="FFFFFFFF"/>
        <rFont val="Noto Sans CJK SC"/>
        <family val="2"/>
        <charset val="1"/>
      </rPr>
      <t xml:space="preserve">显存 </t>
    </r>
    <r>
      <rPr>
        <b val="true"/>
        <sz val="10"/>
        <color rgb="FFFFFFFF"/>
        <rFont val="微软雅黑"/>
        <family val="0"/>
        <charset val="1"/>
      </rPr>
      <t xml:space="preserve">(GB)</t>
    </r>
  </si>
  <si>
    <r>
      <rPr>
        <b val="true"/>
        <sz val="10"/>
        <color rgb="FFFFFFFF"/>
        <rFont val="Noto Sans CJK SC"/>
        <family val="2"/>
        <charset val="1"/>
      </rPr>
      <t xml:space="preserve">带宽 </t>
    </r>
    <r>
      <rPr>
        <b val="true"/>
        <sz val="10"/>
        <color rgb="FFFFFFFF"/>
        <rFont val="微软雅黑"/>
        <family val="0"/>
        <charset val="1"/>
      </rPr>
      <t xml:space="preserve">(GB/s)</t>
    </r>
  </si>
  <si>
    <t xml:space="preserve">TDP (W)</t>
  </si>
  <si>
    <r>
      <rPr>
        <sz val="9"/>
        <rFont val="微软雅黑"/>
        <family val="0"/>
        <charset val="1"/>
      </rPr>
      <t xml:space="preserve">Target Markets / </t>
    </r>
    <r>
      <rPr>
        <sz val="9"/>
        <rFont val="Noto Sans CJK SC"/>
        <family val="2"/>
        <charset val="1"/>
      </rPr>
      <t xml:space="preserve">目标市场</t>
    </r>
  </si>
  <si>
    <r>
      <rPr>
        <sz val="9"/>
        <rFont val="Noto Sans CJK SC"/>
        <family val="2"/>
        <charset val="1"/>
      </rPr>
      <t xml:space="preserve">目标市场（细分 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</si>
  <si>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Noto Sans CJK SC"/>
        <family val="2"/>
        <charset val="1"/>
      </rPr>
      <t xml:space="preserve">目标市场（细分 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</si>
  <si>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GPU / </t>
    </r>
    <r>
      <rPr>
        <sz val="9"/>
        <rFont val="Noto Sans CJK SC"/>
        <family val="2"/>
        <charset val="1"/>
      </rPr>
      <t xml:space="preserve">图形处理单元（架构）</t>
    </r>
  </si>
  <si>
    <r>
      <rPr>
        <sz val="9"/>
        <rFont val="微软雅黑"/>
        <family val="0"/>
        <charset val="1"/>
      </rPr>
      <t xml:space="preserve">GPU Cores / CUDA </t>
    </r>
    <r>
      <rPr>
        <sz val="9"/>
        <rFont val="Noto Sans CJK SC"/>
        <family val="2"/>
        <charset val="1"/>
      </rPr>
      <t xml:space="preserve">单元数</t>
    </r>
  </si>
  <si>
    <r>
      <rPr>
        <sz val="9"/>
        <rFont val="微软雅黑"/>
        <family val="0"/>
        <charset val="1"/>
      </rPr>
      <t xml:space="preserve">Tensor Cores / Tensor </t>
    </r>
    <r>
      <rPr>
        <sz val="9"/>
        <rFont val="Noto Sans CJK SC"/>
        <family val="2"/>
        <charset val="1"/>
      </rPr>
      <t xml:space="preserve">核数</t>
    </r>
  </si>
  <si>
    <r>
      <rPr>
        <sz val="9"/>
        <rFont val="微软雅黑"/>
        <family val="0"/>
        <charset val="1"/>
      </rPr>
      <t xml:space="preserve">Core Clock / </t>
    </r>
    <r>
      <rPr>
        <sz val="9"/>
        <rFont val="Noto Sans CJK SC"/>
        <family val="2"/>
        <charset val="1"/>
      </rPr>
      <t xml:space="preserve">基本频率</t>
    </r>
  </si>
  <si>
    <r>
      <rPr>
        <sz val="9"/>
        <rFont val="微软雅黑"/>
        <family val="0"/>
        <charset val="1"/>
      </rPr>
      <t xml:space="preserve">Boost Clock(s) / </t>
    </r>
    <r>
      <rPr>
        <sz val="9"/>
        <rFont val="Noto Sans CJK SC"/>
        <family val="2"/>
        <charset val="1"/>
      </rPr>
      <t xml:space="preserve">超频频率</t>
    </r>
  </si>
  <si>
    <r>
      <rPr>
        <sz val="9"/>
        <rFont val="微软雅黑"/>
        <family val="0"/>
        <charset val="1"/>
      </rPr>
      <t xml:space="preserve">Memory Clock / </t>
    </r>
    <r>
      <rPr>
        <sz val="9"/>
        <rFont val="Noto Sans CJK SC"/>
        <family val="2"/>
        <charset val="1"/>
      </rPr>
      <t xml:space="preserve">显存频率</t>
    </r>
  </si>
  <si>
    <r>
      <rPr>
        <sz val="9"/>
        <rFont val="微软雅黑"/>
        <family val="0"/>
        <charset val="1"/>
      </rPr>
      <t xml:space="preserve">Memory Bus Width / </t>
    </r>
    <r>
      <rPr>
        <sz val="9"/>
        <rFont val="Noto Sans CJK SC"/>
        <family val="2"/>
        <charset val="1"/>
      </rPr>
      <t xml:space="preserve">显存位宽</t>
    </r>
  </si>
  <si>
    <r>
      <rPr>
        <sz val="9"/>
        <rFont val="微软雅黑"/>
        <family val="0"/>
        <charset val="1"/>
      </rPr>
      <t xml:space="preserve">Memory Bandwidth / </t>
    </r>
    <r>
      <rPr>
        <sz val="9"/>
        <rFont val="Noto Sans CJK SC"/>
        <family val="2"/>
        <charset val="1"/>
      </rPr>
      <t xml:space="preserve">显存带宽</t>
    </r>
  </si>
  <si>
    <r>
      <rPr>
        <sz val="9"/>
        <rFont val="微软雅黑"/>
        <family val="0"/>
        <charset val="1"/>
      </rPr>
      <t xml:space="preserve">VRAM / </t>
    </r>
    <r>
      <rPr>
        <sz val="9"/>
        <rFont val="Noto Sans CJK SC"/>
        <family val="2"/>
        <charset val="1"/>
      </rPr>
      <t xml:space="preserve">显存</t>
    </r>
  </si>
  <si>
    <r>
      <rPr>
        <sz val="9"/>
        <rFont val="微软雅黑"/>
        <family val="0"/>
        <charset val="1"/>
      </rPr>
      <t xml:space="preserve">FP16 Computing (non-Tensor) / </t>
    </r>
    <r>
      <rPr>
        <sz val="9"/>
        <rFont val="Noto Sans CJK SC"/>
        <family val="2"/>
        <charset val="1"/>
      </rPr>
      <t xml:space="preserve">半精性能 </t>
    </r>
    <r>
      <rPr>
        <sz val="9"/>
        <rFont val="微软雅黑"/>
        <family val="0"/>
        <charset val="1"/>
      </rPr>
      <t xml:space="preserve">non-Tensor</t>
    </r>
  </si>
  <si>
    <r>
      <rPr>
        <sz val="9"/>
        <rFont val="微软雅黑"/>
        <family val="0"/>
        <charset val="1"/>
      </rPr>
      <t xml:space="preserve">FP16 Tensor Computing/ </t>
    </r>
    <r>
      <rPr>
        <sz val="9"/>
        <rFont val="Noto Sans CJK SC"/>
        <family val="2"/>
        <charset val="1"/>
      </rPr>
      <t xml:space="preserve">半精 </t>
    </r>
    <r>
      <rPr>
        <sz val="9"/>
        <rFont val="微软雅黑"/>
        <family val="0"/>
        <charset val="1"/>
      </rPr>
      <t xml:space="preserve">Tensor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</si>
  <si>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FP32 Computing (non-Tensor) / </t>
    </r>
    <r>
      <rPr>
        <sz val="9"/>
        <rFont val="Noto Sans CJK SC"/>
        <family val="2"/>
        <charset val="1"/>
      </rPr>
      <t xml:space="preserve">单精性能 </t>
    </r>
    <r>
      <rPr>
        <sz val="9"/>
        <rFont val="微软雅黑"/>
        <family val="0"/>
        <charset val="1"/>
      </rPr>
      <t xml:space="preserve">non-Tensor</t>
    </r>
  </si>
  <si>
    <r>
      <rPr>
        <sz val="9"/>
        <rFont val="微软雅黑"/>
        <family val="0"/>
        <charset val="1"/>
      </rPr>
      <t xml:space="preserve">TF32 Tensor Computing / TF32 Tensor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</si>
  <si>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FP64 Computing (non-Tensor) / </t>
    </r>
    <r>
      <rPr>
        <sz val="9"/>
        <rFont val="Noto Sans CJK SC"/>
        <family val="2"/>
        <charset val="1"/>
      </rPr>
      <t xml:space="preserve">双精性能 </t>
    </r>
    <r>
      <rPr>
        <sz val="9"/>
        <rFont val="微软雅黑"/>
        <family val="0"/>
        <charset val="1"/>
      </rPr>
      <t xml:space="preserve">non-Tensor</t>
    </r>
  </si>
  <si>
    <r>
      <rPr>
        <sz val="9"/>
        <rFont val="微软雅黑"/>
        <family val="0"/>
        <charset val="1"/>
      </rPr>
      <t xml:space="preserve">FP64 Tensor Computing / FP64 Tensor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</si>
  <si>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INT8 Computing / INT8 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</si>
  <si>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INT4 Computing / INT4 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</si>
  <si>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Interconnect Bandwidth / GPU-GPU</t>
    </r>
    <r>
      <rPr>
        <sz val="9"/>
        <rFont val="Noto Sans CJK SC"/>
        <family val="2"/>
        <charset val="1"/>
      </rPr>
      <t xml:space="preserve">带宽</t>
    </r>
  </si>
  <si>
    <r>
      <rPr>
        <sz val="9"/>
        <rFont val="微软雅黑"/>
        <family val="0"/>
        <charset val="1"/>
      </rPr>
      <t xml:space="preserve">Transistor Count / </t>
    </r>
    <r>
      <rPr>
        <sz val="9"/>
        <rFont val="Noto Sans CJK SC"/>
        <family val="2"/>
        <charset val="1"/>
      </rPr>
      <t xml:space="preserve">晶体管数量</t>
    </r>
  </si>
  <si>
    <r>
      <rPr>
        <sz val="9"/>
        <rFont val="微软雅黑"/>
        <family val="0"/>
        <charset val="1"/>
      </rPr>
      <t xml:space="preserve">Form Factor / </t>
    </r>
    <r>
      <rPr>
        <sz val="9"/>
        <rFont val="Noto Sans CJK SC"/>
        <family val="2"/>
        <charset val="1"/>
      </rPr>
      <t xml:space="preserve">外形</t>
    </r>
  </si>
  <si>
    <r>
      <rPr>
        <sz val="9"/>
        <rFont val="微软雅黑"/>
        <family val="0"/>
        <charset val="1"/>
      </rPr>
      <t xml:space="preserve">TDP / </t>
    </r>
    <r>
      <rPr>
        <sz val="9"/>
        <rFont val="Noto Sans CJK SC"/>
        <family val="2"/>
        <charset val="1"/>
      </rPr>
      <t xml:space="preserve">设计功耗</t>
    </r>
  </si>
  <si>
    <t xml:space="preserve">GB300 NVL72</t>
  </si>
  <si>
    <t xml:space="preserve">Blackwell Ultra</t>
  </si>
  <si>
    <r>
      <rPr>
        <sz val="11"/>
        <color rgb="FF000000"/>
        <rFont val="宋体"/>
        <family val="0"/>
        <charset val="134"/>
      </rPr>
      <t xml:space="preserve">GB300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Blackwell Ultra</t>
    </r>
    <r>
      <rPr>
        <sz val="11"/>
        <color rgb="FF000000"/>
        <rFont val="Noto Sans CJK SC"/>
        <family val="2"/>
        <charset val="1"/>
      </rPr>
      <t xml:space="preserve">）</t>
    </r>
  </si>
  <si>
    <t xml:space="preserve">数据中心</t>
  </si>
  <si>
    <t xml:space="preserve">FP4</t>
  </si>
  <si>
    <r>
      <rPr>
        <sz val="9"/>
        <rFont val="Noto Sans CJK SC"/>
        <family val="2"/>
        <charset val="1"/>
      </rPr>
      <t xml:space="preserve">数据中心（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工厂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  <charset val="1"/>
      </rPr>
      <t xml:space="preserve">机柜级方案）</t>
    </r>
  </si>
  <si>
    <r>
      <rPr>
        <sz val="9"/>
        <rFont val="微软雅黑"/>
        <family val="0"/>
        <charset val="1"/>
      </rPr>
      <t xml:space="preserve">GB300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Blackwell Ultra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</si>
  <si>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16896</t>
    </r>
    <r>
      <rPr>
        <sz val="9"/>
        <rFont val="Noto Sans CJK SC"/>
        <family val="2"/>
        <charset val="1"/>
      </rPr>
      <t xml:space="preserve">（每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</si>
  <si>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528</t>
    </r>
    <r>
      <rPr>
        <sz val="9"/>
        <rFont val="Noto Sans CJK SC"/>
        <family val="2"/>
        <charset val="1"/>
      </rPr>
      <t xml:space="preserve">（每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</t>
    </r>
  </si>
  <si>
    <t xml:space="preserve">-</t>
  </si>
  <si>
    <t xml:space="preserve">HBM3e</t>
  </si>
  <si>
    <t xml:space="preserve">8192-bit</t>
  </si>
  <si>
    <t xml:space="preserve">8 TB/s</t>
  </si>
  <si>
    <r>
      <rPr>
        <sz val="9"/>
        <rFont val="微软雅黑"/>
        <family val="0"/>
        <charset val="1"/>
      </rPr>
      <t xml:space="preserve">288 GB HBM3e</t>
    </r>
    <r>
      <rPr>
        <sz val="9"/>
        <rFont val="Noto Sans CJK SC"/>
        <family val="2"/>
        <charset val="1"/>
      </rPr>
      <t xml:space="preserve">（每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</t>
    </r>
  </si>
  <si>
    <t xml:space="preserve">≈166 TFLOPS</t>
  </si>
  <si>
    <t xml:space="preserve">≈2,500 | ≈5,000 TFLOPS²</t>
  </si>
  <si>
    <t xml:space="preserve">≈83 TFLOPS</t>
  </si>
  <si>
    <t xml:space="preserve">≈1,250 | ≈2,500 TFLOPS²</t>
  </si>
  <si>
    <t xml:space="preserve">≈1.4 TFLOPS</t>
  </si>
  <si>
    <t xml:space="preserve">≈187 | ≈375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</si>
  <si>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：≈</t>
    </r>
    <r>
      <rPr>
        <sz val="9"/>
        <rFont val="微软雅黑"/>
        <family val="0"/>
        <charset val="1"/>
      </rPr>
      <t xml:space="preserve">15 | ≈20 PFLOPS²</t>
    </r>
  </si>
  <si>
    <r>
      <rPr>
        <sz val="9"/>
        <rFont val="微软雅黑"/>
        <family val="0"/>
        <charset val="1"/>
      </rPr>
      <t xml:space="preserve">NVLink 5: 1.8 TB/s</t>
    </r>
    <r>
      <rPr>
        <sz val="9"/>
        <rFont val="Noto Sans CJK SC"/>
        <family val="2"/>
        <charset val="1"/>
      </rPr>
      <t xml:space="preserve">（每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
</t>
    </r>
    <r>
      <rPr>
        <sz val="9"/>
        <rFont val="微软雅黑"/>
        <family val="0"/>
        <charset val="1"/>
      </rPr>
      <t xml:space="preserve">NVLink-C2C: 900 GB/s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GPU↔Grace CPU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</si>
  <si>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4NP 2080</t>
    </r>
    <r>
      <rPr>
        <sz val="9"/>
        <rFont val="Noto Sans CJK SC"/>
        <family val="2"/>
        <charset val="1"/>
      </rPr>
      <t xml:space="preserve">亿（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</si>
  <si>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GB300 </t>
    </r>
    <r>
      <rPr>
        <sz val="9"/>
        <rFont val="Noto Sans CJK SC"/>
        <family val="2"/>
        <charset val="1"/>
      </rPr>
      <t xml:space="preserve">超级芯片（</t>
    </r>
    <r>
      <rPr>
        <sz val="9"/>
        <rFont val="微软雅黑"/>
        <family val="0"/>
        <charset val="1"/>
      </rPr>
      <t xml:space="preserve">1×Grace+2×B300</t>
    </r>
    <r>
      <rPr>
        <sz val="9"/>
        <rFont val="Noto Sans CJK SC"/>
        <family val="2"/>
        <charset val="1"/>
      </rPr>
      <t xml:space="preserve">）</t>
    </r>
    <r>
      <rPr>
        <sz val="9"/>
        <rFont val="微软雅黑"/>
        <family val="0"/>
        <charset val="1"/>
      </rPr>
      <t xml:space="preserve">/ NVL72 </t>
    </r>
    <r>
      <rPr>
        <sz val="9"/>
        <rFont val="Noto Sans CJK SC"/>
        <family val="2"/>
        <charset val="1"/>
      </rPr>
      <t xml:space="preserve">整柜全液冷</t>
    </r>
  </si>
  <si>
    <r>
      <rPr>
        <sz val="9"/>
        <rFont val="微软雅黑"/>
        <family val="0"/>
        <charset val="1"/>
      </rPr>
      <t xml:space="preserve">≈1,400W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）；整柜≈</t>
    </r>
    <r>
      <rPr>
        <sz val="9"/>
        <rFont val="微软雅黑"/>
        <family val="0"/>
        <charset val="1"/>
      </rPr>
      <t xml:space="preserve">135kW</t>
    </r>
  </si>
  <si>
    <t xml:space="preserve">B300 SXM</t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</si>
  <si>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2"/>
        <charset val="1"/>
      </rPr>
      <t xml:space="preserve">月</t>
    </r>
    <r>
      <rPr>
        <sz val="9"/>
        <rFont val="微软雅黑"/>
        <family val="0"/>
        <charset val="1"/>
      </rPr>
      <t xml:space="preserve">GTC</t>
    </r>
    <r>
      <rPr>
        <sz val="9"/>
        <rFont val="Noto Sans CJK SC"/>
        <family val="2"/>
        <charset val="1"/>
      </rPr>
      <t xml:space="preserve">发布的</t>
    </r>
    <r>
      <rPr>
        <sz val="9"/>
        <rFont val="微软雅黑"/>
        <family val="0"/>
        <charset val="1"/>
      </rPr>
      <t xml:space="preserve">Blackwell Ultra</t>
    </r>
    <r>
      <rPr>
        <sz val="9"/>
        <rFont val="Noto Sans CJK SC"/>
        <family val="2"/>
        <charset val="1"/>
      </rPr>
      <t xml:space="preserve">架构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GB100</t>
    </r>
    <r>
      <rPr>
        <sz val="9"/>
        <rFont val="Noto Sans CJK SC"/>
        <family val="2"/>
        <charset val="1"/>
      </rPr>
      <t xml:space="preserve">双芯粒，</t>
    </r>
    <r>
      <rPr>
        <sz val="9"/>
        <rFont val="微软雅黑"/>
        <family val="0"/>
        <charset val="1"/>
      </rPr>
      <t xml:space="preserve">TSMC 4NP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2080</t>
    </r>
    <r>
      <rPr>
        <sz val="9"/>
        <rFont val="Noto Sans CJK SC"/>
        <family val="2"/>
        <charset val="1"/>
      </rPr>
      <t xml:space="preserve">亿晶体管）：</t>
    </r>
    <r>
      <rPr>
        <sz val="9"/>
        <rFont val="微软雅黑"/>
        <family val="0"/>
        <charset val="1"/>
      </rPr>
      <t xml:space="preserve">288GB HBM3e</t>
    </r>
    <r>
      <rPr>
        <sz val="9"/>
        <rFont val="Noto Sans CJK SC"/>
        <family val="2"/>
        <charset val="1"/>
      </rPr>
      <t xml:space="preserve">显存、</t>
    </r>
    <r>
      <rPr>
        <sz val="9"/>
        <rFont val="微软雅黑"/>
        <family val="0"/>
        <charset val="1"/>
      </rPr>
      <t xml:space="preserve">8TB/s</t>
    </r>
    <r>
      <rPr>
        <sz val="9"/>
        <rFont val="Noto Sans CJK SC"/>
        <family val="2"/>
        <charset val="1"/>
      </rPr>
      <t xml:space="preserve">带宽，</t>
    </r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稠密算力较</t>
    </r>
    <r>
      <rPr>
        <sz val="9"/>
        <rFont val="微软雅黑"/>
        <family val="0"/>
        <charset val="1"/>
      </rPr>
      <t xml:space="preserve">B200</t>
    </r>
    <r>
      <rPr>
        <sz val="9"/>
        <rFont val="Noto Sans CJK SC"/>
        <family val="2"/>
        <charset val="1"/>
      </rPr>
      <t xml:space="preserve">提升</t>
    </r>
    <r>
      <rPr>
        <sz val="9"/>
        <rFont val="微软雅黑"/>
        <family val="0"/>
        <charset val="1"/>
      </rPr>
      <t xml:space="preserve">50%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attention</t>
    </r>
    <r>
      <rPr>
        <sz val="9"/>
        <rFont val="Noto Sans CJK SC"/>
        <family val="2"/>
        <charset val="1"/>
      </rPr>
      <t xml:space="preserve">吞吐约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  <charset val="1"/>
      </rPr>
      <t xml:space="preserve">倍。面向万亿参数大模型训练、长上下文推理与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工厂（</t>
    </r>
    <r>
      <rPr>
        <sz val="9"/>
        <rFont val="微软雅黑"/>
        <family val="0"/>
        <charset val="1"/>
      </rPr>
      <t xml:space="preserve">HGX B300 / DGX B300 / GB300 NVL72</t>
    </r>
    <r>
      <rPr>
        <sz val="9"/>
        <rFont val="Noto Sans CJK SC"/>
        <family val="2"/>
        <charset val="1"/>
      </rPr>
      <t xml:space="preserve">），需液冷</t>
    </r>
  </si>
  <si>
    <t xml:space="preserve">16896</t>
  </si>
  <si>
    <t xml:space="preserve">528</t>
  </si>
  <si>
    <t xml:space="preserve">288 GB HBM3e</t>
  </si>
  <si>
    <t xml:space="preserve">≈150 TFLOPS</t>
  </si>
  <si>
    <t xml:space="preserve">2,250 | 4,500 TFLOPS²</t>
  </si>
  <si>
    <t xml:space="preserve">75 TFLOPS</t>
  </si>
  <si>
    <t xml:space="preserve">1,125 | 2,250 TFLOPS²</t>
  </si>
  <si>
    <t xml:space="preserve">≈1.25 TFLOPS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</si>
  <si>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13.5 | 18 PFLOPS²</t>
    </r>
  </si>
  <si>
    <t xml:space="preserve">NVLink 5: 1.8 TB/s
PCIe Gen6: 256 GB/s</t>
  </si>
  <si>
    <r>
      <rPr>
        <sz val="9"/>
        <rFont val="微软雅黑"/>
        <family val="0"/>
        <charset val="1"/>
      </rPr>
      <t xml:space="preserve">4NP 2080</t>
    </r>
    <r>
      <rPr>
        <sz val="9"/>
        <rFont val="Noto Sans CJK SC"/>
        <family val="2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</si>
  <si>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SXM6 </t>
    </r>
    <r>
      <rPr>
        <sz val="9"/>
        <rFont val="Noto Sans CJK SC"/>
        <family val="2"/>
        <charset val="1"/>
      </rPr>
      <t xml:space="preserve">接口，适用于</t>
    </r>
    <r>
      <rPr>
        <sz val="9"/>
        <rFont val="微软雅黑"/>
        <family val="0"/>
        <charset val="1"/>
      </rPr>
      <t xml:space="preserve">NVLink</t>
    </r>
    <r>
      <rPr>
        <sz val="9"/>
        <rFont val="Noto Sans CJK SC"/>
        <family val="2"/>
        <charset val="1"/>
      </rPr>
      <t xml:space="preserve">专用主板（需液冷）</t>
    </r>
  </si>
  <si>
    <t xml:space="preserve">1400W</t>
  </si>
  <si>
    <t xml:space="preserve">B200 SXM</t>
  </si>
  <si>
    <t xml:space="preserve">Blackwell</t>
  </si>
  <si>
    <r>
      <rPr>
        <sz val="11"/>
        <color rgb="FF000000"/>
        <rFont val="宋体"/>
        <family val="0"/>
        <charset val="134"/>
      </rPr>
      <t xml:space="preserve">GB100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Blackwell</t>
    </r>
    <r>
      <rPr>
        <sz val="11"/>
        <color rgb="FF000000"/>
        <rFont val="Noto Sans CJK SC"/>
        <family val="2"/>
        <charset val="1"/>
      </rPr>
      <t xml:space="preserve">，双芯粒）</t>
    </r>
  </si>
  <si>
    <r>
      <rPr>
        <sz val="9"/>
        <rFont val="Noto Sans CJK SC"/>
        <family val="2"/>
        <charset val="1"/>
      </rPr>
      <t xml:space="preserve">这是一款采用台积电</t>
    </r>
    <r>
      <rPr>
        <sz val="9"/>
        <rFont val="微软雅黑"/>
        <family val="0"/>
        <charset val="1"/>
      </rPr>
      <t xml:space="preserve">4NP</t>
    </r>
    <r>
      <rPr>
        <sz val="9"/>
        <rFont val="Noto Sans CJK SC"/>
        <family val="2"/>
        <charset val="1"/>
      </rPr>
      <t xml:space="preserve">工艺的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，采用</t>
    </r>
    <r>
      <rPr>
        <sz val="9"/>
        <rFont val="微软雅黑"/>
        <family val="0"/>
        <charset val="1"/>
      </rPr>
      <t xml:space="preserve">NVIDIA Blackwell</t>
    </r>
    <r>
      <rPr>
        <sz val="9"/>
        <rFont val="Noto Sans CJK SC"/>
        <family val="2"/>
        <charset val="1"/>
      </rPr>
      <t xml:space="preserve">架构，上市时间为</t>
    </r>
    <r>
      <rPr>
        <sz val="9"/>
        <rFont val="微软雅黑"/>
        <family val="0"/>
        <charset val="1"/>
      </rPr>
      <t xml:space="preserve">2024</t>
    </r>
    <r>
      <rPr>
        <sz val="9"/>
        <rFont val="Noto Sans CJK SC"/>
        <family val="2"/>
        <charset val="1"/>
      </rPr>
      <t xml:space="preserve">年。具有</t>
    </r>
    <r>
      <rPr>
        <sz val="9"/>
        <rFont val="微软雅黑"/>
        <family val="0"/>
        <charset val="1"/>
      </rPr>
      <t xml:space="preserve">2080</t>
    </r>
    <r>
      <rPr>
        <sz val="9"/>
        <rFont val="Noto Sans CJK SC"/>
        <family val="2"/>
        <charset val="1"/>
      </rPr>
      <t xml:space="preserve">亿个晶体管、</t>
    </r>
    <r>
      <rPr>
        <sz val="9"/>
        <rFont val="微软雅黑"/>
        <family val="0"/>
        <charset val="1"/>
      </rPr>
      <t xml:space="preserve">16896</t>
    </r>
    <r>
      <rPr>
        <sz val="9"/>
        <rFont val="Noto Sans CJK SC"/>
        <family val="2"/>
        <charset val="1"/>
      </rPr>
      <t xml:space="preserve">个</t>
    </r>
    <r>
      <rPr>
        <sz val="9"/>
        <rFont val="微软雅黑"/>
        <family val="0"/>
        <charset val="1"/>
      </rPr>
      <t xml:space="preserve">CUDA</t>
    </r>
    <r>
      <rPr>
        <sz val="9"/>
        <rFont val="Noto Sans CJK SC"/>
        <family val="2"/>
        <charset val="1"/>
      </rPr>
      <t xml:space="preserve">核心和</t>
    </r>
    <r>
      <rPr>
        <sz val="9"/>
        <rFont val="微软雅黑"/>
        <family val="0"/>
        <charset val="1"/>
      </rPr>
      <t xml:space="preserve">192GB HBM3e</t>
    </r>
    <r>
      <rPr>
        <sz val="9"/>
        <rFont val="Noto Sans CJK SC"/>
        <family val="2"/>
        <charset val="1"/>
      </rPr>
      <t xml:space="preserve">显存，</t>
    </r>
    <r>
      <rPr>
        <sz val="9"/>
        <rFont val="微软雅黑"/>
        <family val="0"/>
        <charset val="1"/>
      </rPr>
      <t xml:space="preserve">FP32</t>
    </r>
    <r>
      <rPr>
        <sz val="9"/>
        <rFont val="Noto Sans CJK SC"/>
        <family val="2"/>
        <charset val="1"/>
      </rPr>
      <t xml:space="preserve">算力</t>
    </r>
    <r>
      <rPr>
        <sz val="9"/>
        <rFont val="微软雅黑"/>
        <family val="0"/>
        <charset val="1"/>
      </rPr>
      <t xml:space="preserve">75 TFLOPS</t>
    </r>
    <r>
      <rPr>
        <sz val="9"/>
        <rFont val="Noto Sans CJK SC"/>
        <family val="2"/>
        <charset val="1"/>
      </rPr>
      <t xml:space="preserve">，总功耗为</t>
    </r>
    <r>
      <rPr>
        <sz val="9"/>
        <rFont val="微软雅黑"/>
        <family val="0"/>
        <charset val="1"/>
      </rPr>
      <t xml:space="preserve">1000W</t>
    </r>
    <r>
      <rPr>
        <sz val="9"/>
        <rFont val="Noto Sans CJK SC"/>
        <family val="2"/>
        <charset val="1"/>
      </rPr>
      <t xml:space="preserve">。</t>
    </r>
  </si>
  <si>
    <r>
      <rPr>
        <sz val="9"/>
        <rFont val="微软雅黑"/>
        <family val="0"/>
        <charset val="1"/>
      </rPr>
      <t xml:space="preserve">GB100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，双芯粒）</t>
    </r>
  </si>
  <si>
    <t xml:space="preserve">1665 MHz</t>
  </si>
  <si>
    <t xml:space="preserve">1837 MHz</t>
  </si>
  <si>
    <t xml:space="preserve">2000 MHz</t>
  </si>
  <si>
    <t xml:space="preserve">2*4096bit</t>
  </si>
  <si>
    <t xml:space="preserve">2*96GB HBM3e=192GB</t>
  </si>
  <si>
    <t xml:space="preserve">37 TFLOPS</t>
  </si>
  <si>
    <t xml:space="preserve">4,500 | 9,000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</si>
  <si>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9 | 18 PFLOPS²</t>
    </r>
  </si>
  <si>
    <t xml:space="preserve">PCIe Gen6 :256 GB/s
NVLink: 1800GB/s</t>
  </si>
  <si>
    <r>
      <rPr>
        <sz val="9"/>
        <rFont val="微软雅黑"/>
        <family val="0"/>
        <charset val="1"/>
      </rPr>
      <t xml:space="preserve">SXM </t>
    </r>
    <r>
      <rPr>
        <sz val="9"/>
        <rFont val="Noto Sans CJK SC"/>
        <family val="2"/>
        <charset val="1"/>
      </rPr>
      <t xml:space="preserve">接口，适合于</t>
    </r>
    <r>
      <rPr>
        <sz val="9"/>
        <rFont val="微软雅黑"/>
        <family val="0"/>
        <charset val="1"/>
      </rPr>
      <t xml:space="preserve">NVLink</t>
    </r>
    <r>
      <rPr>
        <sz val="9"/>
        <rFont val="Noto Sans CJK SC"/>
        <family val="2"/>
        <charset val="1"/>
      </rPr>
      <t xml:space="preserve">专用主板</t>
    </r>
  </si>
  <si>
    <t xml:space="preserve">1000W</t>
  </si>
  <si>
    <t xml:space="preserve">RTX PRO 6000 Blackwell</t>
  </si>
  <si>
    <r>
      <rPr>
        <sz val="11"/>
        <color rgb="FF000000"/>
        <rFont val="宋体"/>
        <family val="0"/>
        <charset val="134"/>
      </rPr>
      <t xml:space="preserve">GB202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Blackwell</t>
    </r>
    <r>
      <rPr>
        <sz val="11"/>
        <color rgb="FF000000"/>
        <rFont val="Noto Sans CJK SC"/>
        <family val="2"/>
        <charset val="1"/>
      </rPr>
      <t xml:space="preserve">）</t>
    </r>
  </si>
  <si>
    <t xml:space="preserve">专业工作站</t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</si>
  <si>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2"/>
        <charset val="1"/>
      </rPr>
      <t xml:space="preserve">月发布的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旗舰专业卡（工作站版）：</t>
    </r>
    <r>
      <rPr>
        <sz val="9"/>
        <rFont val="微软雅黑"/>
        <family val="0"/>
        <charset val="1"/>
      </rPr>
      <t xml:space="preserve">96GB GDDR7 ECC</t>
    </r>
    <r>
      <rPr>
        <sz val="9"/>
        <rFont val="Noto Sans CJK SC"/>
        <family val="2"/>
        <charset val="1"/>
      </rPr>
      <t xml:space="preserve">超大显存，第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  <charset val="1"/>
      </rPr>
      <t xml:space="preserve">代</t>
    </r>
    <r>
      <rPr>
        <sz val="9"/>
        <rFont val="微软雅黑"/>
        <family val="0"/>
        <charset val="1"/>
      </rPr>
      <t xml:space="preserve">Tensor Core</t>
    </r>
    <r>
      <rPr>
        <sz val="9"/>
        <rFont val="Noto Sans CJK SC"/>
        <family val="2"/>
        <charset val="1"/>
      </rPr>
      <t xml:space="preserve">支持</t>
    </r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，支持</t>
    </r>
    <r>
      <rPr>
        <sz val="9"/>
        <rFont val="微软雅黑"/>
        <family val="0"/>
        <charset val="1"/>
      </rPr>
      <t xml:space="preserve">MIG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4×24GB</t>
    </r>
    <r>
      <rPr>
        <sz val="9"/>
        <rFont val="Noto Sans CJK SC"/>
        <family val="2"/>
        <charset val="1"/>
      </rPr>
      <t xml:space="preserve">）。面向本地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开发、大模型微调与推理、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渲染、仿真、视频制作（另有</t>
    </r>
    <r>
      <rPr>
        <sz val="9"/>
        <rFont val="微软雅黑"/>
        <family val="0"/>
        <charset val="1"/>
      </rPr>
      <t xml:space="preserve">Max-Q 300W</t>
    </r>
    <r>
      <rPr>
        <sz val="9"/>
        <rFont val="Noto Sans CJK SC"/>
        <family val="2"/>
        <charset val="1"/>
      </rPr>
      <t xml:space="preserve">版与被动散热服务器版）</t>
    </r>
  </si>
  <si>
    <r>
      <rPr>
        <sz val="9"/>
        <rFont val="微软雅黑"/>
        <family val="0"/>
        <charset val="1"/>
      </rPr>
      <t xml:space="preserve">GB202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）</t>
    </r>
  </si>
  <si>
    <t xml:space="preserve">24064</t>
  </si>
  <si>
    <t xml:space="preserve">752</t>
  </si>
  <si>
    <t xml:space="preserve">≈2617 MHz</t>
  </si>
  <si>
    <t xml:space="preserve">28Gbps GDDR7</t>
  </si>
  <si>
    <t xml:space="preserve">512-bit</t>
  </si>
  <si>
    <t xml:space="preserve">1,792 GB/s</t>
  </si>
  <si>
    <t xml:space="preserve">96 GB GDDR7 w/ ECC</t>
  </si>
  <si>
    <t xml:space="preserve">125 TFLOPS</t>
  </si>
  <si>
    <t xml:space="preserve">500 | 1,000 TFLOPS²</t>
  </si>
  <si>
    <t xml:space="preserve">250 | 500 TFLOPS²</t>
  </si>
  <si>
    <t xml:space="preserve">≈1.95 TFLOPS</t>
  </si>
  <si>
    <t xml:space="preserve">1,000 | 2,000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</si>
  <si>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2 | 4 PFLOPS²</t>
    </r>
  </si>
  <si>
    <r>
      <rPr>
        <sz val="9"/>
        <rFont val="微软雅黑"/>
        <family val="0"/>
        <charset val="1"/>
      </rPr>
      <t xml:space="preserve">PCIe 5.0 x16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128 GB/s</t>
    </r>
    <r>
      <rPr>
        <sz val="9"/>
        <rFont val="Noto Sans CJK SC"/>
        <family val="2"/>
        <charset val="1"/>
      </rPr>
      <t xml:space="preserve">（无</t>
    </r>
    <r>
      <rPr>
        <sz val="9"/>
        <rFont val="微软雅黑"/>
        <family val="0"/>
        <charset val="1"/>
      </rPr>
      <t xml:space="preserve">NVLink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</si>
  <si>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4NP 922</t>
    </r>
    <r>
      <rPr>
        <sz val="9"/>
        <rFont val="Noto Sans CJK SC"/>
        <family val="2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</si>
  <si>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双槽位 主动散热（双流通式）</t>
    </r>
  </si>
  <si>
    <t xml:space="preserve">600W</t>
  </si>
  <si>
    <t xml:space="preserve">RTX PRO 6000D Blackwell</t>
  </si>
  <si>
    <r>
      <rPr>
        <sz val="9"/>
        <rFont val="微软雅黑"/>
        <family val="0"/>
        <charset val="1"/>
      </rPr>
      <t xml:space="preserve">RTX PRO 6000</t>
    </r>
    <r>
      <rPr>
        <sz val="9"/>
        <rFont val="Noto Sans CJK SC"/>
        <family val="2"/>
        <charset val="1"/>
      </rPr>
      <t xml:space="preserve">的中国合规版（</t>
    </r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Q3</t>
    </r>
    <r>
      <rPr>
        <sz val="9"/>
        <rFont val="Noto Sans CJK SC"/>
        <family val="2"/>
        <charset val="1"/>
      </rPr>
      <t xml:space="preserve">，面向中国大陆及港澳）：</t>
    </r>
    <r>
      <rPr>
        <sz val="9"/>
        <rFont val="微软雅黑"/>
        <family val="0"/>
        <charset val="1"/>
      </rPr>
      <t xml:space="preserve">CUDA</t>
    </r>
    <r>
      <rPr>
        <sz val="9"/>
        <rFont val="Noto Sans CJK SC"/>
        <family val="2"/>
        <charset val="1"/>
      </rPr>
      <t xml:space="preserve">核心削减约</t>
    </r>
    <r>
      <rPr>
        <sz val="9"/>
        <rFont val="微软雅黑"/>
        <family val="0"/>
        <charset val="1"/>
      </rPr>
      <t xml:space="preserve">17%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84GB GDDR7</t>
    </r>
    <r>
      <rPr>
        <sz val="9"/>
        <rFont val="Noto Sans CJK SC"/>
        <family val="2"/>
        <charset val="1"/>
      </rPr>
      <t xml:space="preserve">，带宽降至</t>
    </r>
    <r>
      <rPr>
        <sz val="9"/>
        <rFont val="微软雅黑"/>
        <family val="0"/>
        <charset val="1"/>
      </rPr>
      <t xml:space="preserve">1398 GB/s</t>
    </r>
    <r>
      <rPr>
        <sz val="9"/>
        <rFont val="Noto Sans CJK SC"/>
        <family val="2"/>
        <charset val="1"/>
      </rPr>
      <t xml:space="preserve">，无</t>
    </r>
    <r>
      <rPr>
        <sz val="9"/>
        <rFont val="微软雅黑"/>
        <family val="0"/>
        <charset val="1"/>
      </rPr>
      <t xml:space="preserve">NVLink</t>
    </r>
    <r>
      <rPr>
        <sz val="9"/>
        <rFont val="Noto Sans CJK SC"/>
        <family val="2"/>
        <charset val="1"/>
      </rPr>
      <t xml:space="preserve">、无</t>
    </r>
    <r>
      <rPr>
        <sz val="9"/>
        <rFont val="微软雅黑"/>
        <family val="0"/>
        <charset val="1"/>
      </rPr>
      <t xml:space="preserve">MIG</t>
    </r>
    <r>
      <rPr>
        <sz val="9"/>
        <rFont val="Noto Sans CJK SC"/>
        <family val="2"/>
        <charset val="1"/>
      </rPr>
      <t xml:space="preserve">。定位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推理、中小模型微调、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渲染、工业仿真（双槽被动散热服务器形态）</t>
    </r>
  </si>
  <si>
    <t xml:space="preserve">19968</t>
  </si>
  <si>
    <t xml:space="preserve">624</t>
  </si>
  <si>
    <t xml:space="preserve">≈2430 MHz</t>
  </si>
  <si>
    <t xml:space="preserve">≈25Gbps GDDR7</t>
  </si>
  <si>
    <t xml:space="preserve">448-bit</t>
  </si>
  <si>
    <t xml:space="preserve">1,398 GB/s</t>
  </si>
  <si>
    <t xml:space="preserve">84 GB GDDR7 w/ ECC</t>
  </si>
  <si>
    <t xml:space="preserve">≈97 TFLOPS</t>
  </si>
  <si>
    <t xml:space="preserve">≈388 | ≈776 TFLOPS²</t>
  </si>
  <si>
    <t xml:space="preserve">≈194 | ≈388 TFLOPS²</t>
  </si>
  <si>
    <t xml:space="preserve">≈1.5 TFLOPS</t>
  </si>
  <si>
    <t xml:space="preserve">≈776 | ≈1,552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</si>
  <si>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：≈</t>
    </r>
    <r>
      <rPr>
        <sz val="9"/>
        <rFont val="微软雅黑"/>
        <family val="0"/>
        <charset val="1"/>
      </rPr>
      <t xml:space="preserve">1.6 | ≈3.1 PFLOPS²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</si>
  <si>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双槽位 被动散热</t>
    </r>
  </si>
  <si>
    <t xml:space="preserve">RTX PRO 5000 Blackwell</t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</si>
  <si>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年发布的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高端专业卡：</t>
    </r>
    <r>
      <rPr>
        <sz val="9"/>
        <rFont val="微软雅黑"/>
        <family val="0"/>
        <charset val="1"/>
      </rPr>
      <t xml:space="preserve">48GB</t>
    </r>
    <r>
      <rPr>
        <sz val="9"/>
        <rFont val="Noto Sans CJK SC"/>
        <family val="2"/>
        <charset val="1"/>
      </rPr>
      <t xml:space="preserve">（可选</t>
    </r>
    <r>
      <rPr>
        <sz val="9"/>
        <rFont val="微软雅黑"/>
        <family val="0"/>
        <charset val="1"/>
      </rPr>
      <t xml:space="preserve">72GB</t>
    </r>
    <r>
      <rPr>
        <sz val="9"/>
        <rFont val="Noto Sans CJK SC"/>
        <family val="2"/>
        <charset val="1"/>
      </rPr>
      <t xml:space="preserve">）</t>
    </r>
    <r>
      <rPr>
        <sz val="9"/>
        <rFont val="微软雅黑"/>
        <family val="0"/>
        <charset val="1"/>
      </rPr>
      <t xml:space="preserve">GDDR7 ECC</t>
    </r>
    <r>
      <rPr>
        <sz val="9"/>
        <rFont val="Noto Sans CJK SC"/>
        <family val="2"/>
        <charset val="1"/>
      </rPr>
      <t xml:space="preserve">，支持</t>
    </r>
    <r>
      <rPr>
        <sz val="9"/>
        <rFont val="微软雅黑"/>
        <family val="0"/>
        <charset val="1"/>
      </rPr>
      <t xml:space="preserve">MIG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  <charset val="1"/>
      </rPr>
      <t xml:space="preserve">实例）。面向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开发、</t>
    </r>
    <r>
      <rPr>
        <sz val="9"/>
        <rFont val="微软雅黑"/>
        <family val="0"/>
        <charset val="1"/>
      </rPr>
      <t xml:space="preserve">LLM</t>
    </r>
    <r>
      <rPr>
        <sz val="9"/>
        <rFont val="Noto Sans CJK SC"/>
        <family val="2"/>
        <charset val="1"/>
      </rPr>
      <t xml:space="preserve">推理、仿真、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渲染与视频制作</t>
    </r>
  </si>
  <si>
    <t xml:space="preserve">14080</t>
  </si>
  <si>
    <t xml:space="preserve">440</t>
  </si>
  <si>
    <t xml:space="preserve">≈2310 MHz</t>
  </si>
  <si>
    <t xml:space="preserve">384-bit</t>
  </si>
  <si>
    <t xml:space="preserve">1,344 GB/s</t>
  </si>
  <si>
    <r>
      <rPr>
        <sz val="9"/>
        <rFont val="微软雅黑"/>
        <family val="0"/>
        <charset val="1"/>
      </rPr>
      <t xml:space="preserve">48 GB</t>
    </r>
    <r>
      <rPr>
        <sz val="9"/>
        <rFont val="Noto Sans CJK SC"/>
        <family val="2"/>
        <charset val="1"/>
      </rPr>
      <t xml:space="preserve">（可选</t>
    </r>
    <r>
      <rPr>
        <sz val="9"/>
        <rFont val="微软雅黑"/>
        <family val="0"/>
        <charset val="1"/>
      </rPr>
      <t xml:space="preserve">72 GB</t>
    </r>
    <r>
      <rPr>
        <sz val="9"/>
        <rFont val="Noto Sans CJK SC"/>
        <family val="2"/>
        <charset val="1"/>
      </rPr>
      <t xml:space="preserve">）</t>
    </r>
    <r>
      <rPr>
        <sz val="9"/>
        <rFont val="微软雅黑"/>
        <family val="0"/>
        <charset val="1"/>
      </rPr>
      <t xml:space="preserve">GDDR7 w/ ECC</t>
    </r>
  </si>
  <si>
    <t xml:space="preserve">65 TFLOPS</t>
  </si>
  <si>
    <t xml:space="preserve">260 | 520 TFLOPS²</t>
  </si>
  <si>
    <t xml:space="preserve">130 | 260 TFLOPS²</t>
  </si>
  <si>
    <t xml:space="preserve">≈1.0 TFLOPS</t>
  </si>
  <si>
    <t xml:space="preserve">520 | 1,040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</si>
  <si>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 | 2.1 PFLOPS²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</si>
  <si>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双槽位 主动散热</t>
    </r>
  </si>
  <si>
    <t xml:space="preserve">300W</t>
  </si>
  <si>
    <t xml:space="preserve">RTX PRO 4500 Blackwell</t>
  </si>
  <si>
    <r>
      <rPr>
        <sz val="11"/>
        <color rgb="FF000000"/>
        <rFont val="宋体"/>
        <family val="0"/>
        <charset val="134"/>
      </rPr>
      <t xml:space="preserve">GB203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Blackwell</t>
    </r>
    <r>
      <rPr>
        <sz val="11"/>
        <color rgb="FF000000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</si>
  <si>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主流专业卡（</t>
    </r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年，工作站版）：</t>
    </r>
    <r>
      <rPr>
        <sz val="9"/>
        <rFont val="微软雅黑"/>
        <family val="0"/>
        <charset val="1"/>
      </rPr>
      <t xml:space="preserve">32GB GDDR7 ECC</t>
    </r>
    <r>
      <rPr>
        <sz val="9"/>
        <rFont val="Noto Sans CJK SC"/>
        <family val="2"/>
        <charset val="1"/>
      </rPr>
      <t xml:space="preserve">。面向生成式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渲染、数据可视化与仿真（另有</t>
    </r>
    <r>
      <rPr>
        <sz val="9"/>
        <rFont val="微软雅黑"/>
        <family val="0"/>
        <charset val="1"/>
      </rPr>
      <t xml:space="preserve">165W</t>
    </r>
    <r>
      <rPr>
        <sz val="9"/>
        <rFont val="Noto Sans CJK SC"/>
        <family val="2"/>
        <charset val="1"/>
      </rPr>
      <t xml:space="preserve">被动散热服务器版，带宽</t>
    </r>
    <r>
      <rPr>
        <sz val="9"/>
        <rFont val="微软雅黑"/>
        <family val="0"/>
        <charset val="1"/>
      </rPr>
      <t xml:space="preserve">800 GB/s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</si>
  <si>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GB203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）</t>
    </r>
  </si>
  <si>
    <t xml:space="preserve">10496</t>
  </si>
  <si>
    <t xml:space="preserve">328</t>
  </si>
  <si>
    <t xml:space="preserve">256-bit</t>
  </si>
  <si>
    <t xml:space="preserve">896 GB/s</t>
  </si>
  <si>
    <t xml:space="preserve">32 GB GDDR7 w/ ECC</t>
  </si>
  <si>
    <t xml:space="preserve">51 TFLOPS</t>
  </si>
  <si>
    <t xml:space="preserve">204 | 408 TFLOPS²</t>
  </si>
  <si>
    <t xml:space="preserve">102 | 204 TFLOPS²</t>
  </si>
  <si>
    <t xml:space="preserve">≈0.8 TFLOPS</t>
  </si>
  <si>
    <t xml:space="preserve">408 | 816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</si>
  <si>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0.8 | 1.6 PFLOPS²</t>
    </r>
  </si>
  <si>
    <r>
      <rPr>
        <sz val="9"/>
        <rFont val="微软雅黑"/>
        <family val="0"/>
        <charset val="1"/>
      </rPr>
      <t xml:space="preserve">4NP 456</t>
    </r>
    <r>
      <rPr>
        <sz val="9"/>
        <rFont val="Noto Sans CJK SC"/>
        <family val="2"/>
        <charset val="1"/>
      </rPr>
      <t xml:space="preserve">亿</t>
    </r>
  </si>
  <si>
    <t xml:space="preserve">200W</t>
  </si>
  <si>
    <t xml:space="preserve">RTX PRO 4000 Blackwell</t>
  </si>
  <si>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入门级专业卡（</t>
    </r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年）：单槽</t>
    </r>
    <r>
      <rPr>
        <sz val="9"/>
        <rFont val="微软雅黑"/>
        <family val="0"/>
        <charset val="1"/>
      </rPr>
      <t xml:space="preserve">145W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24GB GDDR7 ECC</t>
    </r>
    <r>
      <rPr>
        <sz val="9"/>
        <rFont val="Noto Sans CJK SC"/>
        <family val="2"/>
        <charset val="1"/>
      </rPr>
      <t xml:space="preserve">。面向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原型开发、</t>
    </r>
    <r>
      <rPr>
        <sz val="9"/>
        <rFont val="微软雅黑"/>
        <family val="0"/>
        <charset val="1"/>
      </rPr>
      <t xml:space="preserve">CAD/CAM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渲染与边缘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  <charset val="1"/>
      </rPr>
      <t xml:space="preserve">高密度部署（另有</t>
    </r>
    <r>
      <rPr>
        <sz val="9"/>
        <rFont val="微软雅黑"/>
        <family val="0"/>
        <charset val="1"/>
      </rPr>
      <t xml:space="preserve">70W SFF</t>
    </r>
    <r>
      <rPr>
        <sz val="9"/>
        <rFont val="Noto Sans CJK SC"/>
        <family val="2"/>
        <charset val="1"/>
      </rPr>
      <t xml:space="preserve">半高版，带宽</t>
    </r>
    <r>
      <rPr>
        <sz val="9"/>
        <rFont val="微软雅黑"/>
        <family val="0"/>
        <charset val="1"/>
      </rPr>
      <t xml:space="preserve">432 GB/s</t>
    </r>
    <r>
      <rPr>
        <sz val="9"/>
        <rFont val="Noto Sans CJK SC"/>
        <family val="2"/>
        <charset val="1"/>
      </rPr>
      <t xml:space="preserve">）</t>
    </r>
  </si>
  <si>
    <t xml:space="preserve">8960</t>
  </si>
  <si>
    <t xml:space="preserve">280</t>
  </si>
  <si>
    <t xml:space="preserve">≈2230 MHz</t>
  </si>
  <si>
    <t xml:space="preserve">192-bit</t>
  </si>
  <si>
    <t xml:space="preserve">672 GB/s</t>
  </si>
  <si>
    <t xml:space="preserve">24 GB GDDR7 w/ ECC</t>
  </si>
  <si>
    <t xml:space="preserve">40 TFLOPS</t>
  </si>
  <si>
    <t xml:space="preserve">160 | 320 TFLOPS²</t>
  </si>
  <si>
    <t xml:space="preserve">80 | 160 TFLOPS²</t>
  </si>
  <si>
    <t xml:space="preserve">≈0.63 TFLOPS</t>
  </si>
  <si>
    <t xml:space="preserve">320 | 640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</si>
  <si>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0.64 | 1.29 PFLOPS²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</si>
  <si>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单槽位 主动散热</t>
    </r>
  </si>
  <si>
    <t xml:space="preserve">145W</t>
  </si>
  <si>
    <t xml:space="preserve">RTX 5090</t>
  </si>
  <si>
    <t xml:space="preserve">消费级</t>
  </si>
  <si>
    <r>
      <rPr>
        <sz val="9"/>
        <rFont val="Noto Sans CJK SC"/>
        <family val="2"/>
        <charset val="1"/>
      </rPr>
      <t xml:space="preserve">深度学习、</t>
    </r>
    <r>
      <rPr>
        <sz val="9"/>
        <rFont val="微软雅黑"/>
        <family val="0"/>
        <charset val="1"/>
      </rPr>
      <t xml:space="preserve">RTX (</t>
    </r>
    <r>
      <rPr>
        <sz val="9"/>
        <rFont val="Noto Sans CJK SC"/>
        <family val="2"/>
        <charset val="1"/>
      </rPr>
      <t xml:space="preserve">实时光线追踪</t>
    </r>
    <r>
      <rPr>
        <sz val="9"/>
        <rFont val="微软雅黑"/>
        <family val="0"/>
        <charset val="1"/>
      </rPr>
      <t xml:space="preserve">)</t>
    </r>
  </si>
  <si>
    <t xml:space="preserve">21760</t>
  </si>
  <si>
    <t xml:space="preserve">680</t>
  </si>
  <si>
    <t xml:space="preserve">2017 MHz</t>
  </si>
  <si>
    <t xml:space="preserve">2407 MHz</t>
  </si>
  <si>
    <t xml:space="preserve">32GB GDDR7</t>
  </si>
  <si>
    <t xml:space="preserve">104.8 TFLOPS</t>
  </si>
  <si>
    <t xml:space="preserve">419 | 838 TFLOPS²</t>
  </si>
  <si>
    <t xml:space="preserve">209 | 419 TFLOPS²</t>
  </si>
  <si>
    <t xml:space="preserve">1.64 TFLOPS</t>
  </si>
  <si>
    <t xml:space="preserve">838 | 1,676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</si>
  <si>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1.68 | 3.35 PFLOPS²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</si>
  <si>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 主动散热（</t>
    </r>
    <r>
      <rPr>
        <sz val="9"/>
        <rFont val="微软雅黑"/>
        <family val="0"/>
        <charset val="1"/>
      </rPr>
      <t xml:space="preserve">FE</t>
    </r>
    <r>
      <rPr>
        <sz val="9"/>
        <rFont val="Noto Sans CJK SC"/>
        <family val="2"/>
        <charset val="1"/>
      </rPr>
      <t xml:space="preserve">双流通式）</t>
    </r>
  </si>
  <si>
    <t xml:space="preserve">575W</t>
  </si>
  <si>
    <t xml:space="preserve">RTX 5090D</t>
  </si>
  <si>
    <t xml:space="preserve">≈297 | ≈595 TFLOPS²</t>
  </si>
  <si>
    <t xml:space="preserve">≈148 | ≈297 TFLOPS²</t>
  </si>
  <si>
    <t xml:space="preserve">≈595 | ≈1,190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</si>
  <si>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：≈</t>
    </r>
    <r>
      <rPr>
        <sz val="9"/>
        <rFont val="微软雅黑"/>
        <family val="0"/>
        <charset val="1"/>
      </rPr>
      <t xml:space="preserve">1.19 | ≈2.38 PFLOPS²</t>
    </r>
  </si>
  <si>
    <t xml:space="preserve">RTX 5080</t>
  </si>
  <si>
    <t xml:space="preserve">消费级（高端游戏 / 本地 AI 推理）</t>
  </si>
  <si>
    <t xml:space="preserve">10752</t>
  </si>
  <si>
    <t xml:space="preserve">336</t>
  </si>
  <si>
    <t xml:space="preserve">2.30 GHz</t>
  </si>
  <si>
    <t xml:space="preserve">2.62 GHz</t>
  </si>
  <si>
    <t xml:space="preserve">30 Gbps GDDR7</t>
  </si>
  <si>
    <t xml:space="preserve">960 GB/s</t>
  </si>
  <si>
    <t xml:space="preserve">16GB GDDR7</t>
  </si>
  <si>
    <t xml:space="preserve">56.3 TFLOPS</t>
  </si>
  <si>
    <t xml:space="preserve">225.4 | 450.7 TFLOPS²</t>
  </si>
  <si>
    <t xml:space="preserve">112.7 | 225.4 TFLOPS²</t>
  </si>
  <si>
    <t xml:space="preserve">0.88 TFLOPS</t>
  </si>
  <si>
    <t xml:space="preserve">450.7 | 901.4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</si>
  <si>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0.9 | 1.8 PFLOPS²</t>
    </r>
  </si>
  <si>
    <t xml:space="preserve">PCIe Gen5 x16</t>
  </si>
  <si>
    <r>
      <rPr>
        <sz val="9"/>
        <rFont val="微软雅黑"/>
        <family val="0"/>
        <charset val="1"/>
      </rPr>
      <t xml:space="preserve">4NP 456</t>
    </r>
    <r>
      <rPr>
        <sz val="9"/>
        <rFont val="Noto Sans CJK SC"/>
        <family val="2"/>
        <charset val="1"/>
      </rPr>
      <t xml:space="preserve">亿（</t>
    </r>
    <r>
      <rPr>
        <sz val="9"/>
        <rFont val="微软雅黑"/>
        <family val="0"/>
        <charset val="1"/>
      </rPr>
      <t xml:space="preserve">GB203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</si>
  <si>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双槽（公版 </t>
    </r>
    <r>
      <rPr>
        <sz val="9"/>
        <rFont val="微软雅黑"/>
        <family val="0"/>
        <charset val="1"/>
      </rPr>
      <t xml:space="preserve">FE</t>
    </r>
    <r>
      <rPr>
        <sz val="9"/>
        <rFont val="Noto Sans CJK SC"/>
        <family val="2"/>
        <charset val="1"/>
      </rPr>
      <t xml:space="preserve">）</t>
    </r>
  </si>
  <si>
    <t xml:space="preserve">360W</t>
  </si>
  <si>
    <t xml:space="preserve">RTX 5070 Ti</t>
  </si>
  <si>
    <t xml:space="preserve">2.45 GHz</t>
  </si>
  <si>
    <t xml:space="preserve">28 Gbps GDDR7</t>
  </si>
  <si>
    <t xml:space="preserve">43.9 TFLOPS</t>
  </si>
  <si>
    <t xml:space="preserve">175.6 | 351.3 TFLOPS²</t>
  </si>
  <si>
    <t xml:space="preserve">87.8 | 175.6 TFLOPS²</t>
  </si>
  <si>
    <t xml:space="preserve">0.69 TFLOPS</t>
  </si>
  <si>
    <t xml:space="preserve">351.3 | 702.6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</si>
  <si>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0.7 | 1.4 PFLOPS²</t>
    </r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</si>
  <si>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双槽（</t>
    </r>
    <r>
      <rPr>
        <sz val="9"/>
        <rFont val="微软雅黑"/>
        <family val="0"/>
        <charset val="1"/>
      </rPr>
      <t xml:space="preserve">AIC </t>
    </r>
    <r>
      <rPr>
        <sz val="9"/>
        <rFont val="Noto Sans CJK SC"/>
        <family val="2"/>
        <charset val="1"/>
      </rPr>
      <t xml:space="preserve">非公版）</t>
    </r>
  </si>
  <si>
    <t xml:space="preserve">H200 SXM</t>
  </si>
  <si>
    <t xml:space="preserve">Hopper</t>
  </si>
  <si>
    <r>
      <rPr>
        <sz val="11"/>
        <color rgb="FF000000"/>
        <rFont val="宋体"/>
        <family val="0"/>
        <charset val="134"/>
      </rPr>
      <t xml:space="preserve">GH100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Hopper</t>
    </r>
    <r>
      <rPr>
        <sz val="11"/>
        <color rgb="FF000000"/>
        <rFont val="Noto Sans CJK SC"/>
        <family val="2"/>
        <charset val="1"/>
      </rPr>
      <t xml:space="preserve">）</t>
    </r>
  </si>
  <si>
    <t xml:space="preserve">FP8</t>
  </si>
  <si>
    <r>
      <rPr>
        <sz val="9"/>
        <rFont val="Noto Sans CJK SC"/>
        <family val="2"/>
        <charset val="1"/>
      </rPr>
      <t xml:space="preserve">这是一款采用了台积电 </t>
    </r>
    <r>
      <rPr>
        <sz val="9"/>
        <rFont val="微软雅黑"/>
        <family val="0"/>
        <charset val="1"/>
      </rPr>
      <t xml:space="preserve">4nm</t>
    </r>
    <r>
      <rPr>
        <sz val="9"/>
        <rFont val="Noto Sans CJK SC"/>
        <family val="2"/>
        <charset val="1"/>
      </rPr>
      <t xml:space="preserve">工艺的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，采用</t>
    </r>
    <r>
      <rPr>
        <sz val="9"/>
        <rFont val="微软雅黑"/>
        <family val="0"/>
        <charset val="1"/>
      </rPr>
      <t xml:space="preserve">Nvidia Hopper</t>
    </r>
    <r>
      <rPr>
        <sz val="9"/>
        <rFont val="Noto Sans CJK SC"/>
        <family val="2"/>
        <charset val="1"/>
      </rPr>
      <t xml:space="preserve">架构，上市时间为</t>
    </r>
    <r>
      <rPr>
        <sz val="9"/>
        <rFont val="微软雅黑"/>
        <family val="0"/>
        <charset val="1"/>
      </rPr>
      <t xml:space="preserve">2023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11</t>
    </r>
    <r>
      <rPr>
        <sz val="9"/>
        <rFont val="Noto Sans CJK SC"/>
        <family val="2"/>
        <charset val="1"/>
      </rPr>
      <t xml:space="preserve">月。具有 </t>
    </r>
    <r>
      <rPr>
        <sz val="9"/>
        <rFont val="微软雅黑"/>
        <family val="0"/>
        <charset val="1"/>
      </rPr>
      <t xml:space="preserve">800</t>
    </r>
    <r>
      <rPr>
        <sz val="9"/>
        <rFont val="Noto Sans CJK SC"/>
        <family val="2"/>
        <charset val="1"/>
      </rPr>
      <t xml:space="preserve">亿个晶体管、</t>
    </r>
    <r>
      <rPr>
        <sz val="9"/>
        <rFont val="微软雅黑"/>
        <family val="0"/>
        <charset val="1"/>
      </rPr>
      <t xml:space="preserve">16896 </t>
    </r>
    <r>
      <rPr>
        <sz val="9"/>
        <rFont val="Noto Sans CJK SC"/>
        <family val="2"/>
        <charset val="1"/>
      </rPr>
      <t xml:space="preserve">个 </t>
    </r>
    <r>
      <rPr>
        <sz val="9"/>
        <rFont val="微软雅黑"/>
        <family val="0"/>
        <charset val="1"/>
      </rPr>
      <t xml:space="preserve">CUDA </t>
    </r>
    <r>
      <rPr>
        <sz val="9"/>
        <rFont val="Noto Sans CJK SC"/>
        <family val="2"/>
        <charset val="1"/>
      </rPr>
      <t xml:space="preserve">核心和 </t>
    </r>
    <r>
      <rPr>
        <sz val="9"/>
        <rFont val="微软雅黑"/>
        <family val="0"/>
        <charset val="1"/>
      </rPr>
      <t xml:space="preserve">141GB HBM3e </t>
    </r>
    <r>
      <rPr>
        <sz val="9"/>
        <rFont val="Noto Sans CJK SC"/>
        <family val="2"/>
        <charset val="1"/>
      </rPr>
      <t xml:space="preserve">显存，具备 </t>
    </r>
    <r>
      <rPr>
        <sz val="9"/>
        <rFont val="微软雅黑"/>
        <family val="0"/>
        <charset val="1"/>
      </rPr>
      <t xml:space="preserve">50MB </t>
    </r>
    <r>
      <rPr>
        <sz val="9"/>
        <rFont val="Noto Sans CJK SC"/>
        <family val="2"/>
        <charset val="1"/>
      </rPr>
      <t xml:space="preserve">二级缓存，理论算力</t>
    </r>
    <r>
      <rPr>
        <sz val="9"/>
        <rFont val="微软雅黑"/>
        <family val="0"/>
        <charset val="1"/>
      </rPr>
      <t xml:space="preserve">67TFLOPS</t>
    </r>
    <r>
      <rPr>
        <sz val="9"/>
        <rFont val="Noto Sans CJK SC"/>
        <family val="2"/>
        <charset val="1"/>
      </rPr>
      <t xml:space="preserve">，总功耗为</t>
    </r>
    <r>
      <rPr>
        <sz val="9"/>
        <rFont val="微软雅黑"/>
        <family val="0"/>
        <charset val="1"/>
      </rPr>
      <t xml:space="preserve">700W</t>
    </r>
    <r>
      <rPr>
        <sz val="9"/>
        <rFont val="Noto Sans CJK SC"/>
        <family val="2"/>
        <charset val="1"/>
      </rPr>
      <t xml:space="preserve">。</t>
    </r>
  </si>
  <si>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Hopper</t>
    </r>
    <r>
      <rPr>
        <sz val="9"/>
        <rFont val="Noto Sans CJK SC"/>
        <family val="2"/>
        <charset val="1"/>
      </rPr>
      <t xml:space="preserve">）</t>
    </r>
  </si>
  <si>
    <t xml:space="preserve">1590 MHz</t>
  </si>
  <si>
    <t xml:space="preserve">1980 MHz</t>
  </si>
  <si>
    <t xml:space="preserve">1313 MHz</t>
  </si>
  <si>
    <t xml:space="preserve">6144-bit</t>
  </si>
  <si>
    <t xml:space="preserve">4800GB/s</t>
  </si>
  <si>
    <t xml:space="preserve">141GB HBM3e</t>
  </si>
  <si>
    <t xml:space="preserve">267.6 TFLOPS</t>
  </si>
  <si>
    <t xml:space="preserve">989 | 1,979 TFLOPS²</t>
  </si>
  <si>
    <t xml:space="preserve">67 TFLOPS</t>
  </si>
  <si>
    <t xml:space="preserve">494 | 989 TFLOPS²</t>
  </si>
  <si>
    <t xml:space="preserve">34 TFLOPS</t>
  </si>
  <si>
    <t xml:space="preserve">1,979 | 3,958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</si>
  <si>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1,979 | 3,958 TFLOPS²</t>
    </r>
  </si>
  <si>
    <t xml:space="preserve">PCIe Gen5:128 GB/s
NVLink: 900GB/s</t>
  </si>
  <si>
    <r>
      <rPr>
        <sz val="9"/>
        <rFont val="微软雅黑"/>
        <family val="0"/>
        <charset val="1"/>
      </rPr>
      <t xml:space="preserve">4 nm 800</t>
    </r>
    <r>
      <rPr>
        <sz val="9"/>
        <rFont val="Noto Sans CJK SC"/>
        <family val="2"/>
        <charset val="1"/>
      </rPr>
      <t xml:space="preserve">亿</t>
    </r>
  </si>
  <si>
    <t xml:space="preserve">700W</t>
  </si>
  <si>
    <r>
      <rPr>
        <b val="true"/>
        <sz val="10"/>
        <rFont val="微软雅黑"/>
        <family val="0"/>
        <charset val="1"/>
      </rPr>
      <t xml:space="preserve">H200 PCIe</t>
    </r>
    <r>
      <rPr>
        <b val="true"/>
        <sz val="10"/>
        <rFont val="Noto Sans CJK SC"/>
        <family val="2"/>
        <charset val="1"/>
      </rPr>
      <t xml:space="preserve">（</t>
    </r>
    <r>
      <rPr>
        <b val="true"/>
        <sz val="10"/>
        <rFont val="微软雅黑"/>
        <family val="0"/>
        <charset val="1"/>
      </rPr>
      <t xml:space="preserve">NVL</t>
    </r>
    <r>
      <rPr>
        <b val="true"/>
        <sz val="10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</si>
  <si>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H200 </t>
    </r>
    <r>
      <rPr>
        <sz val="9"/>
        <rFont val="Noto Sans CJK SC"/>
        <family val="2"/>
        <charset val="1"/>
      </rPr>
      <t xml:space="preserve">的 </t>
    </r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形态（官方型号 </t>
    </r>
    <r>
      <rPr>
        <sz val="9"/>
        <rFont val="微软雅黑"/>
        <family val="0"/>
        <charset val="1"/>
      </rPr>
      <t xml:space="preserve">H200 NVL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2024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11</t>
    </r>
    <r>
      <rPr>
        <sz val="9"/>
        <rFont val="Noto Sans CJK SC"/>
        <family val="2"/>
        <charset val="1"/>
      </rPr>
      <t xml:space="preserve">月上市）：</t>
    </r>
    <r>
      <rPr>
        <sz val="9"/>
        <rFont val="微软雅黑"/>
        <family val="0"/>
        <charset val="1"/>
      </rPr>
      <t xml:space="preserve">141GB HBM3e </t>
    </r>
    <r>
      <rPr>
        <sz val="9"/>
        <rFont val="Noto Sans CJK SC"/>
        <family val="2"/>
        <charset val="1"/>
      </rPr>
      <t xml:space="preserve">与 </t>
    </r>
    <r>
      <rPr>
        <sz val="9"/>
        <rFont val="微软雅黑"/>
        <family val="0"/>
        <charset val="1"/>
      </rPr>
      <t xml:space="preserve">4.8TB/s </t>
    </r>
    <r>
      <rPr>
        <sz val="9"/>
        <rFont val="Noto Sans CJK SC"/>
        <family val="2"/>
        <charset val="1"/>
      </rPr>
      <t xml:space="preserve">带宽同 </t>
    </r>
    <r>
      <rPr>
        <sz val="9"/>
        <rFont val="微软雅黑"/>
        <family val="0"/>
        <charset val="1"/>
      </rPr>
      <t xml:space="preserve">SXM </t>
    </r>
    <r>
      <rPr>
        <sz val="9"/>
        <rFont val="Noto Sans CJK SC"/>
        <family val="2"/>
        <charset val="1"/>
      </rPr>
      <t xml:space="preserve">版一致，算力较 </t>
    </r>
    <r>
      <rPr>
        <sz val="9"/>
        <rFont val="微软雅黑"/>
        <family val="0"/>
        <charset val="1"/>
      </rPr>
      <t xml:space="preserve">SXM </t>
    </r>
    <r>
      <rPr>
        <sz val="9"/>
        <rFont val="Noto Sans CJK SC"/>
        <family val="2"/>
        <charset val="1"/>
      </rPr>
      <t xml:space="preserve">低约 </t>
    </r>
    <r>
      <rPr>
        <sz val="9"/>
        <rFont val="微软雅黑"/>
        <family val="0"/>
        <charset val="1"/>
      </rPr>
      <t xml:space="preserve">15%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FP16 </t>
    </r>
    <r>
      <rPr>
        <sz val="9"/>
        <rFont val="Noto Sans CJK SC"/>
        <family val="2"/>
        <charset val="1"/>
      </rPr>
      <t xml:space="preserve">稠密 </t>
    </r>
    <r>
      <rPr>
        <sz val="9"/>
        <rFont val="微软雅黑"/>
        <family val="0"/>
        <charset val="1"/>
      </rPr>
      <t xml:space="preserve">835 TFLOPS</t>
    </r>
    <r>
      <rPr>
        <sz val="9"/>
        <rFont val="Noto Sans CJK SC"/>
        <family val="2"/>
        <charset val="1"/>
      </rPr>
      <t xml:space="preserve">），</t>
    </r>
    <r>
      <rPr>
        <sz val="9"/>
        <rFont val="微软雅黑"/>
        <family val="0"/>
        <charset val="1"/>
      </rPr>
      <t xml:space="preserve">600W </t>
    </r>
    <r>
      <rPr>
        <sz val="9"/>
        <rFont val="Noto Sans CJK SC"/>
        <family val="2"/>
        <charset val="1"/>
      </rPr>
      <t xml:space="preserve">可配置、双槽风冷，支持 </t>
    </r>
    <r>
      <rPr>
        <sz val="9"/>
        <rFont val="微软雅黑"/>
        <family val="0"/>
        <charset val="1"/>
      </rPr>
      <t xml:space="preserve">2/4 </t>
    </r>
    <r>
      <rPr>
        <sz val="9"/>
        <rFont val="Noto Sans CJK SC"/>
        <family val="2"/>
        <charset val="1"/>
      </rPr>
      <t xml:space="preserve">卡 </t>
    </r>
    <r>
      <rPr>
        <sz val="9"/>
        <rFont val="微软雅黑"/>
        <family val="0"/>
        <charset val="1"/>
      </rPr>
      <t xml:space="preserve">NVLink </t>
    </r>
    <r>
      <rPr>
        <sz val="9"/>
        <rFont val="Noto Sans CJK SC"/>
        <family val="2"/>
        <charset val="1"/>
      </rPr>
      <t xml:space="preserve">桥（</t>
    </r>
    <r>
      <rPr>
        <sz val="9"/>
        <rFont val="微软雅黑"/>
        <family val="0"/>
        <charset val="1"/>
      </rPr>
      <t xml:space="preserve">900GB/s</t>
    </r>
    <r>
      <rPr>
        <sz val="9"/>
        <rFont val="Noto Sans CJK SC"/>
        <family val="2"/>
        <charset val="1"/>
      </rPr>
      <t xml:space="preserve">）。面向标准 </t>
    </r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服务器的 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推理与训练部署</t>
    </r>
  </si>
  <si>
    <t xml:space="preserve">4.8 TB/s</t>
  </si>
  <si>
    <t xml:space="preserve">141 GB HBM3e</t>
  </si>
  <si>
    <t xml:space="preserve">240 TFLOPS</t>
  </si>
  <si>
    <t xml:space="preserve">835 | 1,671 TFLOPS²</t>
  </si>
  <si>
    <t xml:space="preserve">60 TFLOPS</t>
  </si>
  <si>
    <t xml:space="preserve">418 | 835 TFLOPS²</t>
  </si>
  <si>
    <t xml:space="preserve">30 TFLOPS</t>
  </si>
  <si>
    <t xml:space="preserve">1,671 | 3,341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</si>
  <si>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1,671 | 3,341 TFLOPS²</t>
    </r>
  </si>
  <si>
    <r>
      <rPr>
        <sz val="9"/>
        <rFont val="微软雅黑"/>
        <family val="0"/>
        <charset val="1"/>
      </rPr>
      <t xml:space="preserve">PCIe Gen5 x16: 128 GB/s
NVLink </t>
    </r>
    <r>
      <rPr>
        <sz val="9"/>
        <rFont val="Noto Sans CJK SC"/>
        <family val="2"/>
        <charset val="1"/>
      </rPr>
      <t xml:space="preserve">桥（</t>
    </r>
    <r>
      <rPr>
        <sz val="9"/>
        <rFont val="微软雅黑"/>
        <family val="0"/>
        <charset val="1"/>
      </rPr>
      <t xml:space="preserve">2/4</t>
    </r>
    <r>
      <rPr>
        <sz val="9"/>
        <rFont val="Noto Sans CJK SC"/>
        <family val="2"/>
        <charset val="1"/>
      </rPr>
      <t xml:space="preserve">卡）</t>
    </r>
    <r>
      <rPr>
        <sz val="9"/>
        <rFont val="微软雅黑"/>
        <family val="0"/>
        <charset val="1"/>
      </rPr>
      <t xml:space="preserve">: 900 GB/s</t>
    </r>
  </si>
  <si>
    <r>
      <rPr>
        <sz val="9"/>
        <rFont val="微软雅黑"/>
        <family val="0"/>
        <charset val="1"/>
      </rPr>
      <t xml:space="preserve">4nm 800</t>
    </r>
    <r>
      <rPr>
        <sz val="9"/>
        <rFont val="Noto Sans CJK SC"/>
        <family val="2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</si>
  <si>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 被动散热（风冷）</t>
    </r>
  </si>
  <si>
    <r>
      <rPr>
        <sz val="9"/>
        <rFont val="微软雅黑"/>
        <family val="0"/>
        <charset val="1"/>
      </rPr>
      <t xml:space="preserve">600W</t>
    </r>
    <r>
      <rPr>
        <sz val="9"/>
        <rFont val="Noto Sans CJK SC"/>
        <family val="2"/>
        <charset val="1"/>
      </rPr>
      <t xml:space="preserve">（可配置）</t>
    </r>
  </si>
  <si>
    <t xml:space="preserve">H100 SXM</t>
  </si>
  <si>
    <r>
      <rPr>
        <sz val="9"/>
        <rFont val="微软雅黑"/>
        <family val="0"/>
        <charset val="1"/>
      </rPr>
      <t xml:space="preserve">H100 </t>
    </r>
    <r>
      <rPr>
        <sz val="9"/>
        <rFont val="Noto Sans CJK SC"/>
        <family val="2"/>
        <charset val="1"/>
      </rPr>
      <t xml:space="preserve">是全球范围内最大的性能出众的加速器，拥有革命性的 </t>
    </r>
    <r>
      <rPr>
        <sz val="9"/>
        <rFont val="微软雅黑"/>
        <family val="0"/>
        <charset val="1"/>
      </rPr>
      <t xml:space="preserve">Transformer </t>
    </r>
    <r>
      <rPr>
        <sz val="9"/>
        <rFont val="Noto Sans CJK SC"/>
        <family val="2"/>
        <charset val="1"/>
      </rPr>
      <t xml:space="preserve">引擎和高度可扩展的 </t>
    </r>
    <r>
      <rPr>
        <sz val="9"/>
        <rFont val="微软雅黑"/>
        <family val="0"/>
        <charset val="1"/>
      </rPr>
      <t xml:space="preserve">NVIDIA NVLink® </t>
    </r>
    <r>
      <rPr>
        <sz val="9"/>
        <rFont val="Noto Sans CJK SC"/>
        <family val="2"/>
        <charset val="1"/>
      </rPr>
      <t xml:space="preserve">互连技术等突破性功能，可推动庞大的 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语言模型、深度推荐系统、基因组学和复杂数字孪生的发展</t>
    </r>
  </si>
  <si>
    <t xml:space="preserve">2.6 GHz HBM3</t>
  </si>
  <si>
    <t xml:space="preserve">5120 bit</t>
  </si>
  <si>
    <t xml:space="preserve">3.35TB/s</t>
  </si>
  <si>
    <t xml:space="preserve">80GB</t>
  </si>
  <si>
    <r>
      <rPr>
        <sz val="9"/>
        <rFont val="微软雅黑"/>
        <family val="0"/>
        <charset val="1"/>
      </rPr>
      <t xml:space="preserve">NVLink 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900GB/s</t>
    </r>
  </si>
  <si>
    <t xml:space="preserve">4 nm   80,000 million</t>
  </si>
  <si>
    <t xml:space="preserve">H800 SXM</t>
  </si>
  <si>
    <r>
      <rPr>
        <sz val="9"/>
        <rFont val="Noto Sans CJK SC"/>
        <family val="2"/>
        <charset val="1"/>
      </rPr>
      <t xml:space="preserve">基于 </t>
    </r>
    <r>
      <rPr>
        <sz val="9"/>
        <rFont val="微软雅黑"/>
        <family val="0"/>
        <charset val="1"/>
      </rPr>
      <t xml:space="preserve">GH800 </t>
    </r>
    <r>
      <rPr>
        <sz val="9"/>
        <rFont val="Noto Sans CJK SC"/>
        <family val="2"/>
        <charset val="1"/>
      </rPr>
      <t xml:space="preserve">图形处理器</t>
    </r>
    <r>
      <rPr>
        <sz val="9"/>
        <rFont val="微软雅黑"/>
        <family val="0"/>
        <charset val="1"/>
      </rPr>
      <t xml:space="preserve">,SXM5</t>
    </r>
    <r>
      <rPr>
        <sz val="9"/>
        <rFont val="Noto Sans CJK SC"/>
        <family val="2"/>
        <charset val="1"/>
      </rPr>
      <t xml:space="preserve">接口，有助于提高机器学习应用程序的速度，第四代</t>
    </r>
    <r>
      <rPr>
        <sz val="9"/>
        <rFont val="微软雅黑"/>
        <family val="0"/>
        <charset val="1"/>
      </rPr>
      <t xml:space="preserve">tensor core</t>
    </r>
    <r>
      <rPr>
        <sz val="9"/>
        <rFont val="Noto Sans CJK SC"/>
        <family val="2"/>
        <charset val="1"/>
      </rPr>
      <t xml:space="preserve">， 支持</t>
    </r>
    <r>
      <rPr>
        <sz val="9"/>
        <rFont val="微软雅黑"/>
        <family val="0"/>
        <charset val="1"/>
      </rPr>
      <t xml:space="preserve">FPB </t>
    </r>
    <r>
      <rPr>
        <sz val="9"/>
        <rFont val="Noto Sans CJK SC"/>
        <family val="2"/>
        <charset val="1"/>
      </rPr>
      <t xml:space="preserve">和</t>
    </r>
    <r>
      <rPr>
        <sz val="9"/>
        <rFont val="微软雅黑"/>
        <family val="0"/>
        <charset val="1"/>
      </rPr>
      <t xml:space="preserve">transformer </t>
    </r>
    <r>
      <rPr>
        <sz val="9"/>
        <rFont val="Noto Sans CJK SC"/>
        <family val="2"/>
        <charset val="1"/>
      </rPr>
      <t xml:space="preserve">引擎</t>
    </r>
  </si>
  <si>
    <t xml:space="preserve">80 GB</t>
  </si>
  <si>
    <t xml:space="preserve">NVLink™: 400GB/s 
PCIe 5.0: 128GB/s</t>
  </si>
  <si>
    <t xml:space="preserve">H100 PCIe</t>
  </si>
  <si>
    <t xml:space="preserve">14592</t>
  </si>
  <si>
    <t xml:space="preserve">456</t>
  </si>
  <si>
    <t xml:space="preserve">1095 MHz</t>
  </si>
  <si>
    <t xml:space="preserve">1755 MHz</t>
  </si>
  <si>
    <t xml:space="preserve">3.2 GHz HBM2e</t>
  </si>
  <si>
    <t xml:space="preserve">2TB/s</t>
  </si>
  <si>
    <t xml:space="preserve">204.9 TFLOPS</t>
  </si>
  <si>
    <t xml:space="preserve">756 | 1,513 TFLOPS²</t>
  </si>
  <si>
    <t xml:space="preserve">378 | 756 TFLOPS²</t>
  </si>
  <si>
    <t xml:space="preserve">26 TFLOPS</t>
  </si>
  <si>
    <t xml:space="preserve">1,513 | 3,026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</si>
  <si>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1,513 | 3,026 TFLOPS²</t>
    </r>
  </si>
  <si>
    <r>
      <rPr>
        <sz val="9"/>
        <rFont val="微软雅黑"/>
        <family val="0"/>
        <charset val="1"/>
      </rPr>
      <t xml:space="preserve">NVLink </t>
    </r>
    <r>
      <rPr>
        <sz val="9"/>
        <rFont val="Noto Sans CJK SC"/>
        <family val="2"/>
        <charset val="1"/>
      </rPr>
      <t xml:space="preserve">：
</t>
    </r>
    <r>
      <rPr>
        <sz val="9"/>
        <rFont val="微软雅黑"/>
        <family val="0"/>
        <charset val="1"/>
      </rPr>
      <t xml:space="preserve">600GB/s PCIe 
5.0 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128GB/</t>
    </r>
  </si>
  <si>
    <r>
      <rPr>
        <sz val="9"/>
        <rFont val="微软雅黑"/>
        <family val="0"/>
        <charset val="1"/>
      </rPr>
      <t xml:space="preserve">PCIe5.0 </t>
    </r>
    <r>
      <rPr>
        <sz val="9"/>
        <rFont val="Noto Sans CJK SC"/>
        <family val="2"/>
        <charset val="1"/>
      </rPr>
      <t xml:space="preserve">双槽位 被动散热</t>
    </r>
  </si>
  <si>
    <t xml:space="preserve">350W</t>
  </si>
  <si>
    <t xml:space="preserve">H800 PCIe</t>
  </si>
  <si>
    <r>
      <rPr>
        <sz val="9"/>
        <rFont val="微软雅黑"/>
        <family val="0"/>
        <charset val="1"/>
      </rPr>
      <t xml:space="preserve">PCIe5.0 x16 </t>
    </r>
    <r>
      <rPr>
        <sz val="9"/>
        <rFont val="Noto Sans CJK SC"/>
        <family val="2"/>
        <charset val="1"/>
      </rPr>
      <t xml:space="preserve">双插槽风冷式</t>
    </r>
  </si>
  <si>
    <t xml:space="preserve">300-350W</t>
  </si>
  <si>
    <t xml:space="preserve">H20 SXM 96GB</t>
  </si>
  <si>
    <r>
      <rPr>
        <sz val="9"/>
        <rFont val="微软雅黑"/>
        <family val="0"/>
        <charset val="1"/>
      </rPr>
      <t xml:space="preserve">2023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11</t>
    </r>
    <r>
      <rPr>
        <sz val="9"/>
        <rFont val="Noto Sans CJK SC"/>
        <family val="2"/>
        <charset val="1"/>
      </rPr>
      <t xml:space="preserve">月发布的中国特供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加速卡（</t>
    </r>
    <r>
      <rPr>
        <sz val="9"/>
        <rFont val="微软雅黑"/>
        <family val="0"/>
        <charset val="1"/>
      </rPr>
      <t xml:space="preserve">HGX 8</t>
    </r>
    <r>
      <rPr>
        <sz val="9"/>
        <rFont val="Noto Sans CJK SC"/>
        <family val="2"/>
        <charset val="1"/>
      </rPr>
      <t xml:space="preserve">卡形态）：</t>
    </r>
    <r>
      <rPr>
        <sz val="9"/>
        <rFont val="微软雅黑"/>
        <family val="0"/>
        <charset val="1"/>
      </rPr>
      <t xml:space="preserve">Hopper</t>
    </r>
    <r>
      <rPr>
        <sz val="9"/>
        <rFont val="Noto Sans CJK SC"/>
        <family val="2"/>
        <charset val="1"/>
      </rPr>
      <t xml:space="preserve">架构</t>
    </r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96GB HBM3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4TB/s</t>
    </r>
    <r>
      <rPr>
        <sz val="9"/>
        <rFont val="Noto Sans CJK SC"/>
        <family val="2"/>
        <charset val="1"/>
      </rPr>
      <t xml:space="preserve">带宽、</t>
    </r>
    <r>
      <rPr>
        <sz val="9"/>
        <rFont val="微软雅黑"/>
        <family val="0"/>
        <charset val="1"/>
      </rPr>
      <t xml:space="preserve">NVLink 900GB/s</t>
    </r>
    <r>
      <rPr>
        <sz val="9"/>
        <rFont val="Noto Sans CJK SC"/>
        <family val="2"/>
        <charset val="1"/>
      </rPr>
      <t xml:space="preserve">保留，算力大幅削减（</t>
    </r>
    <r>
      <rPr>
        <sz val="9"/>
        <rFont val="微软雅黑"/>
        <family val="0"/>
        <charset val="1"/>
      </rPr>
      <t xml:space="preserve">FP16 Tensor 148 TFLOPS</t>
    </r>
    <r>
      <rPr>
        <sz val="9"/>
        <rFont val="Noto Sans CJK SC"/>
        <family val="2"/>
        <charset val="1"/>
      </rPr>
      <t xml:space="preserve">）。面向垂类模型训练与大模型推理</t>
    </r>
  </si>
  <si>
    <t xml:space="preserve">9984</t>
  </si>
  <si>
    <t xml:space="preserve">312</t>
  </si>
  <si>
    <t xml:space="preserve">HBM3</t>
  </si>
  <si>
    <t xml:space="preserve">4 TB/s</t>
  </si>
  <si>
    <t xml:space="preserve">96 GB HBM3</t>
  </si>
  <si>
    <t xml:space="preserve">176 TFLOPS</t>
  </si>
  <si>
    <t xml:space="preserve">148 | 296 TFLOPS²</t>
  </si>
  <si>
    <t xml:space="preserve">44 TFLOPS</t>
  </si>
  <si>
    <t xml:space="preserve">74 | 148 TFLOPS²</t>
  </si>
  <si>
    <t xml:space="preserve">1 TFLOPS</t>
  </si>
  <si>
    <t xml:space="preserve">296 | 592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</si>
  <si>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296 | 592 TFLOPS²</t>
    </r>
  </si>
  <si>
    <t xml:space="preserve">PCIe Gen5 x16:128 GB/s
NVLink: 900GB/s</t>
  </si>
  <si>
    <t xml:space="preserve">400W</t>
  </si>
  <si>
    <t xml:space="preserve">L40S</t>
  </si>
  <si>
    <t xml:space="preserve">Ada Lovelace</t>
  </si>
  <si>
    <r>
      <rPr>
        <sz val="11"/>
        <color rgb="FF000000"/>
        <rFont val="宋体"/>
        <family val="0"/>
        <charset val="134"/>
      </rPr>
      <t xml:space="preserve">AD102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Ada Lovelace</t>
    </r>
    <r>
      <rPr>
        <sz val="11"/>
        <color rgb="FF000000"/>
        <rFont val="Noto Sans CJK SC"/>
        <family val="2"/>
        <charset val="1"/>
      </rPr>
      <t xml:space="preserve">）</t>
    </r>
  </si>
  <si>
    <r>
      <rPr>
        <sz val="9"/>
        <rFont val="Noto Sans CJK SC"/>
        <family val="2"/>
        <charset val="1"/>
      </rPr>
      <t xml:space="preserve">基于 </t>
    </r>
    <r>
      <rPr>
        <sz val="9"/>
        <rFont val="微软雅黑"/>
        <family val="0"/>
        <charset val="1"/>
      </rPr>
      <t xml:space="preserve">AD102 </t>
    </r>
    <r>
      <rPr>
        <sz val="9"/>
        <rFont val="Noto Sans CJK SC"/>
        <family val="2"/>
        <charset val="1"/>
      </rPr>
      <t xml:space="preserve">图形处理器</t>
    </r>
    <r>
      <rPr>
        <sz val="9"/>
        <rFont val="微软雅黑"/>
        <family val="0"/>
        <charset val="1"/>
      </rPr>
      <t xml:space="preserve">,PCI-E4.0</t>
    </r>
    <r>
      <rPr>
        <sz val="9"/>
        <rFont val="Noto Sans CJK SC"/>
        <family val="2"/>
        <charset val="1"/>
      </rPr>
      <t xml:space="preserve">接口，</t>
    </r>
    <r>
      <rPr>
        <sz val="9"/>
        <rFont val="微软雅黑"/>
        <family val="0"/>
        <charset val="1"/>
      </rPr>
      <t xml:space="preserve">18176 </t>
    </r>
    <r>
      <rPr>
        <sz val="9"/>
        <rFont val="Noto Sans CJK SC"/>
        <family val="2"/>
        <charset val="1"/>
      </rPr>
      <t xml:space="preserve">个着色单元</t>
    </r>
    <r>
      <rPr>
        <sz val="9"/>
        <rFont val="微软雅黑"/>
        <family val="0"/>
        <charset val="1"/>
      </rPr>
      <t xml:space="preserve">,</t>
    </r>
    <r>
      <rPr>
        <sz val="9"/>
        <rFont val="Noto Sans CJK SC"/>
        <family val="2"/>
        <charset val="1"/>
      </rPr>
      <t xml:space="preserve">有助于提高机器学习应用程序的速度，第四代</t>
    </r>
    <r>
      <rPr>
        <sz val="9"/>
        <rFont val="微软雅黑"/>
        <family val="0"/>
        <charset val="1"/>
      </rPr>
      <t xml:space="preserve">tensor core</t>
    </r>
    <r>
      <rPr>
        <sz val="9"/>
        <rFont val="Noto Sans CJK SC"/>
        <family val="2"/>
        <charset val="1"/>
      </rPr>
      <t xml:space="preserve">， 支持</t>
    </r>
    <r>
      <rPr>
        <sz val="9"/>
        <rFont val="微软雅黑"/>
        <family val="0"/>
        <charset val="1"/>
      </rPr>
      <t xml:space="preserve">FPB </t>
    </r>
    <r>
      <rPr>
        <sz val="9"/>
        <rFont val="Noto Sans CJK SC"/>
        <family val="2"/>
        <charset val="1"/>
      </rPr>
      <t xml:space="preserve">和</t>
    </r>
    <r>
      <rPr>
        <sz val="9"/>
        <rFont val="微软雅黑"/>
        <family val="0"/>
        <charset val="1"/>
      </rPr>
      <t xml:space="preserve">transformer </t>
    </r>
    <r>
      <rPr>
        <sz val="9"/>
        <rFont val="Noto Sans CJK SC"/>
        <family val="2"/>
        <charset val="1"/>
      </rPr>
      <t xml:space="preserve">引擎，第三代 </t>
    </r>
    <r>
      <rPr>
        <sz val="9"/>
        <rFont val="微软雅黑"/>
        <family val="0"/>
        <charset val="1"/>
      </rPr>
      <t xml:space="preserve">RT Core</t>
    </r>
  </si>
  <si>
    <r>
      <rPr>
        <sz val="9"/>
        <rFont val="微软雅黑"/>
        <family val="0"/>
        <charset val="1"/>
      </rPr>
      <t xml:space="preserve">AD102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Ada Lovelace</t>
    </r>
    <r>
      <rPr>
        <sz val="9"/>
        <rFont val="Noto Sans CJK SC"/>
        <family val="2"/>
        <charset val="1"/>
      </rPr>
      <t xml:space="preserve">）</t>
    </r>
  </si>
  <si>
    <t xml:space="preserve">18176</t>
  </si>
  <si>
    <t xml:space="preserve">568</t>
  </si>
  <si>
    <t xml:space="preserve">1110 MHz</t>
  </si>
  <si>
    <t xml:space="preserve">2520 MHz</t>
  </si>
  <si>
    <t xml:space="preserve">18 GHz  GDDR6</t>
  </si>
  <si>
    <t xml:space="preserve">384 bit</t>
  </si>
  <si>
    <t xml:space="preserve">864GB/ s</t>
  </si>
  <si>
    <t xml:space="preserve">48 GB</t>
  </si>
  <si>
    <t xml:space="preserve">91.6 TFLOPS</t>
  </si>
  <si>
    <t xml:space="preserve">362 | 733 TFLOPS²</t>
  </si>
  <si>
    <t xml:space="preserve">91.61 TFLOPS</t>
  </si>
  <si>
    <t xml:space="preserve">183 | 366 TFLOPS²</t>
  </si>
  <si>
    <t xml:space="preserve">1.4 TFLOPS</t>
  </si>
  <si>
    <t xml:space="preserve">733 | 1,466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</si>
  <si>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733 | 1,466 TFLOPS²</t>
    </r>
  </si>
  <si>
    <r>
      <rPr>
        <sz val="9"/>
        <rFont val="微软雅黑"/>
        <family val="0"/>
        <charset val="1"/>
      </rPr>
      <t xml:space="preserve"> PCIe 4.0 x16</t>
    </r>
    <r>
      <rPr>
        <sz val="9"/>
        <rFont val="Noto Sans CJK SC"/>
        <family val="2"/>
        <charset val="1"/>
      </rPr>
      <t xml:space="preserve">：双向 </t>
    </r>
    <r>
      <rPr>
        <sz val="9"/>
        <rFont val="微软雅黑"/>
        <family val="0"/>
        <charset val="1"/>
      </rPr>
      <t xml:space="preserve">64 GB/s</t>
    </r>
  </si>
  <si>
    <t xml:space="preserve">4N 76,300 million</t>
  </si>
  <si>
    <r>
      <rPr>
        <sz val="9"/>
        <rFont val="微软雅黑"/>
        <family val="0"/>
        <charset val="1"/>
      </rPr>
      <t xml:space="preserve">PCIe 4.0 x16 </t>
    </r>
    <r>
      <rPr>
        <sz val="9"/>
        <rFont val="Noto Sans CJK SC"/>
        <family val="2"/>
        <charset val="1"/>
      </rPr>
      <t xml:space="preserve">双槽位 被动散热</t>
    </r>
  </si>
  <si>
    <t xml:space="preserve">L40</t>
  </si>
  <si>
    <r>
      <rPr>
        <sz val="9"/>
        <rFont val="Noto Sans CJK SC"/>
        <family val="2"/>
        <charset val="1"/>
      </rPr>
      <t xml:space="preserve">基于 </t>
    </r>
    <r>
      <rPr>
        <sz val="9"/>
        <rFont val="微软雅黑"/>
        <family val="0"/>
        <charset val="1"/>
      </rPr>
      <t xml:space="preserve">AD102 </t>
    </r>
    <r>
      <rPr>
        <sz val="9"/>
        <rFont val="Noto Sans CJK SC"/>
        <family val="2"/>
        <charset val="1"/>
      </rPr>
      <t xml:space="preserve">图形处理器</t>
    </r>
    <r>
      <rPr>
        <sz val="9"/>
        <rFont val="微软雅黑"/>
        <family val="0"/>
        <charset val="1"/>
      </rPr>
      <t xml:space="preserve">,PCI-E4.0</t>
    </r>
    <r>
      <rPr>
        <sz val="9"/>
        <rFont val="Noto Sans CJK SC"/>
        <family val="2"/>
        <charset val="1"/>
      </rPr>
      <t xml:space="preserve">接口，</t>
    </r>
    <r>
      <rPr>
        <sz val="9"/>
        <rFont val="微软雅黑"/>
        <family val="0"/>
        <charset val="1"/>
      </rPr>
      <t xml:space="preserve">18176 </t>
    </r>
    <r>
      <rPr>
        <sz val="9"/>
        <rFont val="Noto Sans CJK SC"/>
        <family val="2"/>
        <charset val="1"/>
      </rPr>
      <t xml:space="preserve">个着色单元</t>
    </r>
    <r>
      <rPr>
        <sz val="9"/>
        <rFont val="微软雅黑"/>
        <family val="0"/>
        <charset val="1"/>
      </rPr>
      <t xml:space="preserve">,</t>
    </r>
    <r>
      <rPr>
        <sz val="9"/>
        <rFont val="Noto Sans CJK SC"/>
        <family val="2"/>
        <charset val="1"/>
      </rPr>
      <t xml:space="preserve">有助于提高机器学习应用程序的速度，第三代 </t>
    </r>
    <r>
      <rPr>
        <sz val="9"/>
        <rFont val="微软雅黑"/>
        <family val="0"/>
        <charset val="1"/>
      </rPr>
      <t xml:space="preserve">RT Core</t>
    </r>
  </si>
  <si>
    <t xml:space="preserve">735 MHz</t>
  </si>
  <si>
    <t xml:space="preserve">2490 MHz</t>
  </si>
  <si>
    <t xml:space="preserve">864.0 GB/s</t>
  </si>
  <si>
    <t xml:space="preserve">48GB</t>
  </si>
  <si>
    <t xml:space="preserve">90.5 TFLOPS</t>
  </si>
  <si>
    <t xml:space="preserve">181 | 362 TFLOPS²</t>
  </si>
  <si>
    <t xml:space="preserve">90.52 TFLOPS</t>
  </si>
  <si>
    <t xml:space="preserve">90.5 | 181 TFLOPS²</t>
  </si>
  <si>
    <t xml:space="preserve">362 | 724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</si>
  <si>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362 | 724 TFLOPS²</t>
    </r>
  </si>
  <si>
    <t xml:space="preserve">L20 PCIe</t>
  </si>
  <si>
    <r>
      <rPr>
        <sz val="9"/>
        <rFont val="Noto Sans CJK SC"/>
        <family val="2"/>
        <charset val="1"/>
      </rPr>
      <t xml:space="preserve">这是一款采用了台积电</t>
    </r>
    <r>
      <rPr>
        <sz val="9"/>
        <rFont val="微软雅黑"/>
        <family val="0"/>
        <charset val="1"/>
      </rPr>
      <t xml:space="preserve">4N</t>
    </r>
    <r>
      <rPr>
        <sz val="9"/>
        <rFont val="Noto Sans CJK SC"/>
        <family val="2"/>
        <charset val="1"/>
      </rPr>
      <t xml:space="preserve">工艺的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，采用</t>
    </r>
    <r>
      <rPr>
        <sz val="9"/>
        <rFont val="微软雅黑"/>
        <family val="0"/>
        <charset val="1"/>
      </rPr>
      <t xml:space="preserve">Nvidia Ada Lovelace</t>
    </r>
    <r>
      <rPr>
        <sz val="9"/>
        <rFont val="Noto Sans CJK SC"/>
        <family val="2"/>
        <charset val="1"/>
      </rPr>
      <t xml:space="preserve">架构，上市时间为</t>
    </r>
    <r>
      <rPr>
        <sz val="9"/>
        <rFont val="微软雅黑"/>
        <family val="0"/>
        <charset val="1"/>
      </rPr>
      <t xml:space="preserve">2023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11</t>
    </r>
    <r>
      <rPr>
        <sz val="9"/>
        <rFont val="Noto Sans CJK SC"/>
        <family val="2"/>
        <charset val="1"/>
      </rPr>
      <t xml:space="preserve">月。具有 </t>
    </r>
    <r>
      <rPr>
        <sz val="9"/>
        <rFont val="微软雅黑"/>
        <family val="0"/>
        <charset val="1"/>
      </rPr>
      <t xml:space="preserve">763</t>
    </r>
    <r>
      <rPr>
        <sz val="9"/>
        <rFont val="Noto Sans CJK SC"/>
        <family val="2"/>
        <charset val="1"/>
      </rPr>
      <t xml:space="preserve">亿个晶体管、</t>
    </r>
    <r>
      <rPr>
        <sz val="9"/>
        <rFont val="微软雅黑"/>
        <family val="0"/>
        <charset val="1"/>
      </rPr>
      <t xml:space="preserve">11776 </t>
    </r>
    <r>
      <rPr>
        <sz val="9"/>
        <rFont val="Noto Sans CJK SC"/>
        <family val="2"/>
        <charset val="1"/>
      </rPr>
      <t xml:space="preserve">个 </t>
    </r>
    <r>
      <rPr>
        <sz val="9"/>
        <rFont val="微软雅黑"/>
        <family val="0"/>
        <charset val="1"/>
      </rPr>
      <t xml:space="preserve">CUDA </t>
    </r>
    <r>
      <rPr>
        <sz val="9"/>
        <rFont val="Noto Sans CJK SC"/>
        <family val="2"/>
        <charset val="1"/>
      </rPr>
      <t xml:space="preserve">核心和 </t>
    </r>
    <r>
      <rPr>
        <sz val="9"/>
        <rFont val="微软雅黑"/>
        <family val="0"/>
        <charset val="1"/>
      </rPr>
      <t xml:space="preserve">48GB GDDR6 </t>
    </r>
    <r>
      <rPr>
        <sz val="9"/>
        <rFont val="Noto Sans CJK SC"/>
        <family val="2"/>
        <charset val="1"/>
      </rPr>
      <t xml:space="preserve">显存，具备 </t>
    </r>
    <r>
      <rPr>
        <sz val="9"/>
        <rFont val="微软雅黑"/>
        <family val="0"/>
        <charset val="1"/>
      </rPr>
      <t xml:space="preserve">96MB </t>
    </r>
    <r>
      <rPr>
        <sz val="9"/>
        <rFont val="Noto Sans CJK SC"/>
        <family val="2"/>
        <charset val="1"/>
      </rPr>
      <t xml:space="preserve">二级缓存，理论算力</t>
    </r>
    <r>
      <rPr>
        <sz val="9"/>
        <rFont val="微软雅黑"/>
        <family val="0"/>
        <charset val="1"/>
      </rPr>
      <t xml:space="preserve">59.35TFLOPS</t>
    </r>
    <r>
      <rPr>
        <sz val="9"/>
        <rFont val="Noto Sans CJK SC"/>
        <family val="2"/>
        <charset val="1"/>
      </rPr>
      <t xml:space="preserve">，总功耗为</t>
    </r>
    <r>
      <rPr>
        <sz val="9"/>
        <rFont val="微软雅黑"/>
        <family val="0"/>
        <charset val="1"/>
      </rPr>
      <t xml:space="preserve">275W</t>
    </r>
    <r>
      <rPr>
        <sz val="9"/>
        <rFont val="Noto Sans CJK SC"/>
        <family val="2"/>
        <charset val="1"/>
      </rPr>
      <t xml:space="preserve">。</t>
    </r>
  </si>
  <si>
    <t xml:space="preserve">11776</t>
  </si>
  <si>
    <t xml:space="preserve">368</t>
  </si>
  <si>
    <t xml:space="preserve">1440 MHz</t>
  </si>
  <si>
    <t xml:space="preserve">2250 MHz</t>
  </si>
  <si>
    <t xml:space="preserve">384bit</t>
  </si>
  <si>
    <t xml:space="preserve">864 GB/s</t>
  </si>
  <si>
    <t xml:space="preserve">48 GB GDDR6 W/ ECC</t>
  </si>
  <si>
    <t xml:space="preserve">59.8 TFLOPS</t>
  </si>
  <si>
    <t xml:space="preserve">119.5 | 239 TFLOPS²</t>
  </si>
  <si>
    <t xml:space="preserve">59.8 | 119.5 TFLOPS²</t>
  </si>
  <si>
    <t xml:space="preserve">0.93 TFLOPS</t>
  </si>
  <si>
    <t xml:space="preserve">239 | 478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</si>
  <si>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239 | 478 TFLOPS²</t>
    </r>
  </si>
  <si>
    <r>
      <rPr>
        <sz val="9"/>
        <rFont val="微软雅黑"/>
        <family val="0"/>
        <charset val="1"/>
      </rPr>
      <t xml:space="preserve">PCIe Gen4 x16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64 GB/s</t>
    </r>
  </si>
  <si>
    <r>
      <rPr>
        <sz val="9"/>
        <rFont val="微软雅黑"/>
        <family val="0"/>
        <charset val="1"/>
      </rPr>
      <t xml:space="preserve">4N 763</t>
    </r>
    <r>
      <rPr>
        <sz val="9"/>
        <rFont val="Noto Sans CJK SC"/>
        <family val="2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</si>
  <si>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PCIe4.0 x16 </t>
    </r>
    <r>
      <rPr>
        <sz val="9"/>
        <rFont val="Noto Sans CJK SC"/>
        <family val="2"/>
        <charset val="1"/>
      </rPr>
      <t xml:space="preserve">双插槽风冷式</t>
    </r>
  </si>
  <si>
    <t xml:space="preserve">275W</t>
  </si>
  <si>
    <t xml:space="preserve">L2 PCIe</t>
  </si>
  <si>
    <r>
      <rPr>
        <sz val="11"/>
        <color rgb="FF000000"/>
        <rFont val="宋体"/>
        <family val="0"/>
        <charset val="134"/>
      </rPr>
      <t xml:space="preserve">AD106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Ada Lovelace</t>
    </r>
    <r>
      <rPr>
        <sz val="11"/>
        <color rgb="FF000000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</si>
  <si>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AD106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Ada Lovelace</t>
    </r>
    <r>
      <rPr>
        <sz val="9"/>
        <rFont val="Noto Sans CJK SC"/>
        <family val="2"/>
        <charset val="1"/>
      </rPr>
      <t xml:space="preserve">）</t>
    </r>
  </si>
  <si>
    <t xml:space="preserve">300 GB/s</t>
  </si>
  <si>
    <t xml:space="preserve">24 GB GDDR6 W/ ECC</t>
  </si>
  <si>
    <t xml:space="preserve">24.1 TFLOPS</t>
  </si>
  <si>
    <t xml:space="preserve">48.3 | 96.5 TFLOPS²</t>
  </si>
  <si>
    <t xml:space="preserve">24.1 | 48.3 TFLOPS*</t>
  </si>
  <si>
    <t xml:space="preserve">≈0.38 TFLOPS</t>
  </si>
  <si>
    <t xml:space="preserve">96.5 | 193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</si>
  <si>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96.5 | 193 TFLOPS²</t>
    </r>
  </si>
  <si>
    <r>
      <rPr>
        <sz val="9"/>
        <rFont val="微软雅黑"/>
        <family val="0"/>
        <charset val="1"/>
      </rPr>
      <t xml:space="preserve">4N 358</t>
    </r>
    <r>
      <rPr>
        <sz val="9"/>
        <rFont val="Noto Sans CJK SC"/>
        <family val="2"/>
        <charset val="1"/>
      </rPr>
      <t xml:space="preserve">亿（</t>
    </r>
    <r>
      <rPr>
        <sz val="9"/>
        <rFont val="微软雅黑"/>
        <family val="0"/>
        <charset val="1"/>
      </rPr>
      <t xml:space="preserve">AD104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</si>
  <si>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PCIe 4.0 x16 </t>
    </r>
    <r>
      <rPr>
        <sz val="9"/>
        <rFont val="Noto Sans CJK SC"/>
        <family val="2"/>
        <charset val="1"/>
      </rPr>
      <t xml:space="preserve">单槽半高（</t>
    </r>
    <r>
      <rPr>
        <sz val="9"/>
        <rFont val="微软雅黑"/>
        <family val="0"/>
        <charset val="1"/>
      </rPr>
      <t xml:space="preserve">LP</t>
    </r>
    <r>
      <rPr>
        <sz val="9"/>
        <rFont val="Noto Sans CJK SC"/>
        <family val="2"/>
        <charset val="1"/>
      </rPr>
      <t xml:space="preserve">）被动散热</t>
    </r>
  </si>
  <si>
    <t xml:space="preserve">≈70W</t>
  </si>
  <si>
    <t xml:space="preserve">RTX4090</t>
  </si>
  <si>
    <t xml:space="preserve">深度学习</t>
  </si>
  <si>
    <r>
      <rPr>
        <sz val="9"/>
        <rFont val="微软雅黑"/>
        <family val="0"/>
        <charset val="1"/>
      </rPr>
      <t xml:space="preserve">RTX (</t>
    </r>
    <r>
      <rPr>
        <sz val="9"/>
        <rFont val="Noto Sans CJK SC"/>
        <family val="2"/>
        <charset val="1"/>
      </rPr>
      <t xml:space="preserve">实时光线追踪</t>
    </r>
    <r>
      <rPr>
        <sz val="9"/>
        <rFont val="微软雅黑"/>
        <family val="0"/>
        <charset val="1"/>
      </rPr>
      <t xml:space="preserve">)</t>
    </r>
  </si>
  <si>
    <t xml:space="preserve">VR</t>
  </si>
  <si>
    <t xml:space="preserve">16384</t>
  </si>
  <si>
    <t xml:space="preserve">512</t>
  </si>
  <si>
    <t xml:space="preserve">2235 MHz</t>
  </si>
  <si>
    <t xml:space="preserve">21Gbps GDDR6X</t>
  </si>
  <si>
    <t xml:space="preserve">1008 GB/sec</t>
  </si>
  <si>
    <t xml:space="preserve">24GB</t>
  </si>
  <si>
    <t xml:space="preserve">82.6 TFLOPS</t>
  </si>
  <si>
    <t xml:space="preserve">330.3 | 660.6 TFLOPS²</t>
  </si>
  <si>
    <t xml:space="preserve">165.2 | 330.3 TFLOPS²</t>
  </si>
  <si>
    <t xml:space="preserve">1.29 TFLOPS</t>
  </si>
  <si>
    <t xml:space="preserve">660.6 | 1,321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</si>
  <si>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660.6 | 1,321 TFLOPS²</t>
    </r>
  </si>
  <si>
    <t xml:space="preserve">TSMC 4N 76.3B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</si>
  <si>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三槽位 正反双风扇 主动散热</t>
    </r>
  </si>
  <si>
    <t xml:space="preserve">450W</t>
  </si>
  <si>
    <t xml:space="preserve">A800 SXM 80GB</t>
  </si>
  <si>
    <t xml:space="preserve">Ampere</t>
  </si>
  <si>
    <t xml:space="preserve">GA100 (Ampere)</t>
  </si>
  <si>
    <t xml:space="preserve">INT4</t>
  </si>
  <si>
    <r>
      <rPr>
        <sz val="9"/>
        <rFont val="Noto Sans CJK SC"/>
        <family val="2"/>
        <charset val="1"/>
      </rPr>
      <t xml:space="preserve">新引入</t>
    </r>
    <r>
      <rPr>
        <sz val="9"/>
        <rFont val="微软雅黑"/>
        <family val="0"/>
        <charset val="1"/>
      </rPr>
      <t xml:space="preserve">FP64, TF32, BF16 Tensor Core, </t>
    </r>
    <r>
      <rPr>
        <sz val="9"/>
        <rFont val="Noto Sans CJK SC"/>
        <family val="2"/>
        <charset val="1"/>
      </rPr>
      <t xml:space="preserve">支持</t>
    </r>
    <r>
      <rPr>
        <sz val="9"/>
        <rFont val="微软雅黑"/>
        <family val="0"/>
        <charset val="1"/>
      </rPr>
      <t xml:space="preserve">MIG, </t>
    </r>
    <r>
      <rPr>
        <sz val="9"/>
        <rFont val="Noto Sans CJK SC"/>
        <family val="2"/>
        <charset val="1"/>
      </rPr>
      <t xml:space="preserve">深度学习</t>
    </r>
    <r>
      <rPr>
        <sz val="9"/>
        <rFont val="微软雅黑"/>
        <family val="0"/>
        <charset val="1"/>
      </rPr>
      <t xml:space="preserve">/HPC</t>
    </r>
    <r>
      <rPr>
        <sz val="9"/>
        <rFont val="Noto Sans CJK SC"/>
        <family val="2"/>
        <charset val="1"/>
      </rPr>
      <t xml:space="preserve">大规模算例并行加速计算</t>
    </r>
  </si>
  <si>
    <t xml:space="preserve">6912</t>
  </si>
  <si>
    <t xml:space="preserve">432</t>
  </si>
  <si>
    <t xml:space="preserve">1155 MHz</t>
  </si>
  <si>
    <t xml:space="preserve">1410 MHz</t>
  </si>
  <si>
    <t xml:space="preserve">3.2GHz HBM2</t>
  </si>
  <si>
    <t xml:space="preserve">5120-bit</t>
  </si>
  <si>
    <t xml:space="preserve">2,039 GB/s</t>
  </si>
  <si>
    <t xml:space="preserve">78 TFLOPS</t>
  </si>
  <si>
    <t xml:space="preserve">312 | 624 TFLOPS²</t>
  </si>
  <si>
    <t xml:space="preserve">19.49 TFLOPS</t>
  </si>
  <si>
    <t xml:space="preserve">156 | 312 TFLOPS²</t>
  </si>
  <si>
    <t xml:space="preserve">9.7 TFLOPS</t>
  </si>
  <si>
    <t xml:space="preserve">19.5 TFLOPS</t>
  </si>
  <si>
    <t xml:space="preserve">624 | 1,248 TOPS²</t>
  </si>
  <si>
    <t xml:space="preserve">1,248 | 2,496 TOPS²</t>
  </si>
  <si>
    <t xml:space="preserve">400GB/sec (NVLink 3.0 2-way)</t>
  </si>
  <si>
    <t xml:space="preserve">7nm N7, 54.2B</t>
  </si>
  <si>
    <t xml:space="preserve">A800 PCIe 80GB</t>
  </si>
  <si>
    <t xml:space="preserve">1065MHZ</t>
  </si>
  <si>
    <t xml:space="preserve">1410MHz</t>
  </si>
  <si>
    <t xml:space="preserve">3.0GHz HBM2</t>
  </si>
  <si>
    <t xml:space="preserve">1,935 GB/s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</si>
  <si>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双槽位 被动散热</t>
    </r>
  </si>
  <si>
    <t xml:space="preserve">250W</t>
  </si>
  <si>
    <t xml:space="preserve">A100 SXM4 40GB</t>
  </si>
  <si>
    <t xml:space="preserve">1370MHz</t>
  </si>
  <si>
    <t xml:space="preserve">2.4GHz HBM2</t>
  </si>
  <si>
    <t xml:space="preserve">1,555GB/sec</t>
  </si>
  <si>
    <t xml:space="preserve">40GB</t>
  </si>
  <si>
    <t xml:space="preserve">600GB/sec (NVLink 3.0 2-way)</t>
  </si>
  <si>
    <t xml:space="preserve">A100 PCIe 40GB</t>
  </si>
  <si>
    <t xml:space="preserve">A40</t>
  </si>
  <si>
    <t xml:space="preserve">GA102 (Ampere)</t>
  </si>
  <si>
    <r>
      <rPr>
        <sz val="9"/>
        <rFont val="微软雅黑"/>
        <family val="0"/>
        <charset val="1"/>
      </rPr>
      <t xml:space="preserve">A40 </t>
    </r>
    <r>
      <rPr>
        <sz val="9"/>
        <rFont val="Noto Sans CJK SC"/>
        <family val="2"/>
        <charset val="1"/>
      </rPr>
      <t xml:space="preserve">依托于 </t>
    </r>
    <r>
      <rPr>
        <sz val="9"/>
        <rFont val="微软雅黑"/>
        <family val="0"/>
        <charset val="1"/>
      </rPr>
      <t xml:space="preserve">NVIDIA Ampere </t>
    </r>
    <r>
      <rPr>
        <sz val="9"/>
        <rFont val="Noto Sans CJK SC"/>
        <family val="2"/>
        <charset val="1"/>
      </rPr>
      <t xml:space="preserve">架构而构建，将新一代 </t>
    </r>
    <r>
      <rPr>
        <sz val="9"/>
        <rFont val="微软雅黑"/>
        <family val="0"/>
        <charset val="1"/>
      </rPr>
      <t xml:space="preserve">RT Core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Tensor Core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CUDA® Core </t>
    </r>
    <r>
      <rPr>
        <sz val="9"/>
        <rFont val="Noto Sans CJK SC"/>
        <family val="2"/>
        <charset val="1"/>
      </rPr>
      <t xml:space="preserve">与 </t>
    </r>
    <r>
      <rPr>
        <sz val="9"/>
        <rFont val="微软雅黑"/>
        <family val="0"/>
        <charset val="1"/>
      </rPr>
      <t xml:space="preserve">48GB </t>
    </r>
    <r>
      <rPr>
        <sz val="9"/>
        <rFont val="Noto Sans CJK SC"/>
        <family val="2"/>
        <charset val="1"/>
      </rPr>
      <t xml:space="preserve">显存融于一身，可提供远超以往的图形处理、渲染、计算和 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性能。</t>
    </r>
  </si>
  <si>
    <t xml:space="preserve">1300MHz</t>
  </si>
  <si>
    <t xml:space="preserve">1740MHz</t>
  </si>
  <si>
    <t xml:space="preserve">14.5GHz GDDR6</t>
  </si>
  <si>
    <t xml:space="preserve">696 GB/sec</t>
  </si>
  <si>
    <t xml:space="preserve">37.4 TFLOPS</t>
  </si>
  <si>
    <t xml:space="preserve">149.7 | 299.3 TFLOPS²</t>
  </si>
  <si>
    <t xml:space="preserve">74.8 | 149.7 TFLOPS²</t>
  </si>
  <si>
    <t xml:space="preserve">0.58 TFLOPS</t>
  </si>
  <si>
    <t xml:space="preserve">299.3 | 598.6 TOPS²</t>
  </si>
  <si>
    <t xml:space="preserve">598.6 | 1,197 TOPS²</t>
  </si>
  <si>
    <t xml:space="preserve">112GB/sec (NVLink 3.0 2-way)</t>
  </si>
  <si>
    <t xml:space="preserve">Samsung 8N 28.3B</t>
  </si>
  <si>
    <r>
      <rPr>
        <sz val="9"/>
        <rFont val="微软雅黑"/>
        <family val="0"/>
        <charset val="1"/>
      </rPr>
      <t xml:space="preserve">300W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700W)</t>
    </r>
  </si>
  <si>
    <t xml:space="preserve">A30</t>
  </si>
  <si>
    <r>
      <rPr>
        <sz val="11"/>
        <color rgb="FF000000"/>
        <rFont val="宋体"/>
        <family val="0"/>
        <charset val="134"/>
      </rPr>
      <t xml:space="preserve">GA100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Ampere</t>
    </r>
    <r>
      <rPr>
        <sz val="11"/>
        <color rgb="FF000000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</si>
  <si>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GA100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Ampere</t>
    </r>
    <r>
      <rPr>
        <sz val="9"/>
        <rFont val="Noto Sans CJK SC"/>
        <family val="2"/>
        <charset val="1"/>
      </rPr>
      <t xml:space="preserve">）</t>
    </r>
  </si>
  <si>
    <t xml:space="preserve">3584</t>
  </si>
  <si>
    <t xml:space="preserve">224</t>
  </si>
  <si>
    <t xml:space="preserve">930MHz</t>
  </si>
  <si>
    <t xml:space="preserve">1440MHz</t>
  </si>
  <si>
    <t xml:space="preserve">2.4GHz HBM2 </t>
  </si>
  <si>
    <t xml:space="preserve">3072-bit</t>
  </si>
  <si>
    <t xml:space="preserve">933GB/sec</t>
  </si>
  <si>
    <t xml:space="preserve">41.2 TFLOPS</t>
  </si>
  <si>
    <t xml:space="preserve">165 | 330 TFLOPS²</t>
  </si>
  <si>
    <t xml:space="preserve">10.3 TFLOPS</t>
  </si>
  <si>
    <t xml:space="preserve">82.5 | 165 TFLOPS²</t>
  </si>
  <si>
    <t xml:space="preserve">5.2 TFLOPS</t>
  </si>
  <si>
    <t xml:space="preserve">330 | 661 TOPS²</t>
  </si>
  <si>
    <t xml:space="preserve">661 | 1,321 TOPS²</t>
  </si>
  <si>
    <t xml:space="preserve">200GB/sec (NVLink 3.0 2-way)</t>
  </si>
  <si>
    <t xml:space="preserve">165W</t>
  </si>
  <si>
    <t xml:space="preserve">A10</t>
  </si>
  <si>
    <r>
      <rPr>
        <sz val="11"/>
        <color rgb="FF000000"/>
        <rFont val="宋体"/>
        <family val="0"/>
        <charset val="134"/>
      </rPr>
      <t xml:space="preserve">GA102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Ampere</t>
    </r>
    <r>
      <rPr>
        <sz val="11"/>
        <color rgb="FF000000"/>
        <rFont val="Noto Sans CJK SC"/>
        <family val="2"/>
        <charset val="1"/>
      </rPr>
      <t xml:space="preserve">）</t>
    </r>
  </si>
  <si>
    <t xml:space="preserve">外形小巧，低功耗，实时推理计算，适合大规模部署</t>
  </si>
  <si>
    <t xml:space="preserve">大批量视频编解码</t>
  </si>
  <si>
    <r>
      <rPr>
        <sz val="9"/>
        <rFont val="微软雅黑"/>
        <family val="0"/>
        <charset val="1"/>
      </rPr>
      <t xml:space="preserve">GA102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Ampere</t>
    </r>
    <r>
      <rPr>
        <sz val="9"/>
        <rFont val="Noto Sans CJK SC"/>
        <family val="2"/>
        <charset val="1"/>
      </rPr>
      <t xml:space="preserve">）</t>
    </r>
  </si>
  <si>
    <t xml:space="preserve">9216</t>
  </si>
  <si>
    <t xml:space="preserve">288</t>
  </si>
  <si>
    <t xml:space="preserve">885MHz</t>
  </si>
  <si>
    <t xml:space="preserve">1695MHz</t>
  </si>
  <si>
    <t xml:space="preserve">GDDR6</t>
  </si>
  <si>
    <t xml:space="preserve">600GB/sec</t>
  </si>
  <si>
    <t xml:space="preserve">31.2 TFLOPS</t>
  </si>
  <si>
    <t xml:space="preserve">125 | 250 TFLOPS²</t>
  </si>
  <si>
    <t xml:space="preserve">62.5 | 125 TFLOPS²</t>
  </si>
  <si>
    <t xml:space="preserve">0.97 TFLOPS</t>
  </si>
  <si>
    <t xml:space="preserve">250 | 500 TOPS²</t>
  </si>
  <si>
    <t xml:space="preserve">500 | 1,000 TOPS²</t>
  </si>
  <si>
    <t xml:space="preserve">64GB/sec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</si>
  <si>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单槽位 被动散热</t>
    </r>
  </si>
  <si>
    <t xml:space="preserve">150W</t>
  </si>
  <si>
    <t xml:space="preserve">RTX A6000</t>
  </si>
  <si>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渲染，图形设计，视频编辑，</t>
    </r>
    <r>
      <rPr>
        <sz val="9"/>
        <rFont val="微软雅黑"/>
        <family val="0"/>
        <charset val="1"/>
      </rPr>
      <t xml:space="preserve">CAD/CAM, VR</t>
    </r>
  </si>
  <si>
    <t xml:space="preserve">1450MHz</t>
  </si>
  <si>
    <t xml:space="preserve">1800MHz</t>
  </si>
  <si>
    <t xml:space="preserve">16Gbps GDDR6</t>
  </si>
  <si>
    <t xml:space="preserve">768 GB/sec</t>
  </si>
  <si>
    <t xml:space="preserve">38.7 TFLOPS</t>
  </si>
  <si>
    <t xml:space="preserve">154.8 | 309.7 TFLOPS²</t>
  </si>
  <si>
    <t xml:space="preserve">77.4 | 154.8 TFLOPS²</t>
  </si>
  <si>
    <t xml:space="preserve">0.61 TFLOPS</t>
  </si>
  <si>
    <t xml:space="preserve">309.7 | 619.4 TOPS²</t>
  </si>
  <si>
    <t xml:space="preserve">619.4 | 1,238.7 TOPS²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</si>
  <si>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双槽位 单涡轮风扇 主动散热</t>
    </r>
  </si>
  <si>
    <t xml:space="preserve">RTX 3090</t>
  </si>
  <si>
    <t xml:space="preserve">1395 MHz</t>
  </si>
  <si>
    <t xml:space="preserve">1695 MHz</t>
  </si>
  <si>
    <t xml:space="preserve">19Gbps GDDR6X</t>
  </si>
  <si>
    <t xml:space="preserve">935 GB/sec</t>
  </si>
  <si>
    <t xml:space="preserve">35.6 TFLOPS</t>
  </si>
  <si>
    <t xml:space="preserve">142.4 | 284.7 TFLOPS²</t>
  </si>
  <si>
    <t xml:space="preserve">71.2 | 142.4 TFLOPS²</t>
  </si>
  <si>
    <t xml:space="preserve">0.56 TFLOPS</t>
  </si>
  <si>
    <t xml:space="preserve">284.7 | 569.4 TOPS²</t>
  </si>
  <si>
    <t xml:space="preserve">569.4 | 1,138.9 TOPS²</t>
  </si>
  <si>
    <t xml:space="preserve">112GB/sec (NVLink 3.0 2-way, SLI only)</t>
  </si>
  <si>
    <r>
      <rPr>
        <sz val="9"/>
        <rFont val="微软雅黑"/>
        <family val="0"/>
        <charset val="1"/>
      </rPr>
      <t xml:space="preserve">350W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750W)</t>
    </r>
  </si>
  <si>
    <t xml:space="preserve">RTX 3080</t>
  </si>
  <si>
    <t xml:space="preserve">8704</t>
  </si>
  <si>
    <t xml:space="preserve">272</t>
  </si>
  <si>
    <t xml:space="preserve">1710 MHz</t>
  </si>
  <si>
    <t xml:space="preserve">320-bit</t>
  </si>
  <si>
    <t xml:space="preserve">760 GB/sec</t>
  </si>
  <si>
    <t xml:space="preserve">10GB</t>
  </si>
  <si>
    <t xml:space="preserve">29.8 TFLOPS</t>
  </si>
  <si>
    <t xml:space="preserve">119.1 | 238.2 TFLOPS²</t>
  </si>
  <si>
    <t xml:space="preserve">59.5 | 119.1 TFLOPS²</t>
  </si>
  <si>
    <t xml:space="preserve">0.47 TFLOPS</t>
  </si>
  <si>
    <t xml:space="preserve">238.2 | 476.4 TOPS²</t>
  </si>
  <si>
    <t xml:space="preserve">476.4 | 952.8 TOPS²</t>
  </si>
  <si>
    <t xml:space="preserve">PCIe 4.0 64GB/sec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</si>
  <si>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双槽位 正反双风扇 主动散热</t>
    </r>
  </si>
  <si>
    <r>
      <rPr>
        <sz val="9"/>
        <rFont val="微软雅黑"/>
        <family val="0"/>
        <charset val="1"/>
      </rPr>
      <t xml:space="preserve">320W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750W)</t>
    </r>
  </si>
  <si>
    <t xml:space="preserve">RTX 3070</t>
  </si>
  <si>
    <t xml:space="preserve">GA104 (Ampere)</t>
  </si>
  <si>
    <t xml:space="preserve">5888</t>
  </si>
  <si>
    <t xml:space="preserve">184</t>
  </si>
  <si>
    <t xml:space="preserve">1500 MHz</t>
  </si>
  <si>
    <t xml:space="preserve">1725 MHz</t>
  </si>
  <si>
    <t xml:space="preserve">14Gbps GDDR6</t>
  </si>
  <si>
    <t xml:space="preserve">448 GB/s</t>
  </si>
  <si>
    <t xml:space="preserve">8GB</t>
  </si>
  <si>
    <t xml:space="preserve">20.3 TFLOPS</t>
  </si>
  <si>
    <t xml:space="preserve">81.3 | 162.6 TFLOPS²</t>
  </si>
  <si>
    <t xml:space="preserve">40.6 | 81.3 TFLOPS²</t>
  </si>
  <si>
    <t xml:space="preserve">0.32 TFLOPS</t>
  </si>
  <si>
    <t xml:space="preserve">162.6 | 325.2 TOPS²</t>
  </si>
  <si>
    <t xml:space="preserve">325.2 | 650.4 TOPS²</t>
  </si>
  <si>
    <t xml:space="preserve">Samsung 8N 17.4B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</si>
  <si>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双槽位 双风扇 主动散热</t>
    </r>
  </si>
  <si>
    <r>
      <rPr>
        <sz val="9"/>
        <rFont val="微软雅黑"/>
        <family val="0"/>
        <charset val="1"/>
      </rPr>
      <t xml:space="preserve">220W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</si>
  <si>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t xml:space="preserve">T4</t>
  </si>
  <si>
    <t xml:space="preserve">Turing</t>
  </si>
  <si>
    <t xml:space="preserve">TU104 (Turing)</t>
  </si>
  <si>
    <t xml:space="preserve">小型，低功耗，实时推理计算，大规模部署</t>
  </si>
  <si>
    <t xml:space="preserve">2560</t>
  </si>
  <si>
    <t xml:space="preserve">320</t>
  </si>
  <si>
    <t xml:space="preserve">660 MHz</t>
  </si>
  <si>
    <t xml:space="preserve">10Gbps GDDR6</t>
  </si>
  <si>
    <t xml:space="preserve">320GB/sec</t>
  </si>
  <si>
    <t xml:space="preserve">16GB</t>
  </si>
  <si>
    <t xml:space="preserve">16.2 TFLOPS</t>
  </si>
  <si>
    <t xml:space="preserve">8.1 TFLOPS</t>
  </si>
  <si>
    <t xml:space="preserve">0.25 TFLOPS</t>
  </si>
  <si>
    <t xml:space="preserve">130 TOPS</t>
  </si>
  <si>
    <t xml:space="preserve">260 TOPS</t>
  </si>
  <si>
    <t xml:space="preserve">32GB/sec</t>
  </si>
  <si>
    <t xml:space="preserve">12nm FFN, 13.6B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</si>
  <si>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单槽位 被动散热</t>
    </r>
  </si>
  <si>
    <t xml:space="preserve">75W</t>
  </si>
  <si>
    <r>
      <rPr>
        <b val="true"/>
        <sz val="10"/>
        <rFont val="微软雅黑"/>
        <family val="0"/>
        <charset val="1"/>
      </rPr>
      <t xml:space="preserve">RTX 8000</t>
    </r>
    <r>
      <rPr>
        <b val="true"/>
        <sz val="10"/>
        <rFont val="Noto Sans CJK SC"/>
        <family val="2"/>
        <charset val="1"/>
      </rPr>
      <t xml:space="preserve">（主动散热）</t>
    </r>
  </si>
  <si>
    <t xml:space="preserve">TU102 (Turing)</t>
  </si>
  <si>
    <t xml:space="preserve">4608</t>
  </si>
  <si>
    <t xml:space="preserve">576</t>
  </si>
  <si>
    <t xml:space="preserve">1350MHz</t>
  </si>
  <si>
    <t xml:space="preserve">1630MHz</t>
  </si>
  <si>
    <t xml:space="preserve">672 GB/sec</t>
  </si>
  <si>
    <t xml:space="preserve">32.6 TFLOPS</t>
  </si>
  <si>
    <t xml:space="preserve">130.5 TFLOPS</t>
  </si>
  <si>
    <t xml:space="preserve">16.3 TFLOPS</t>
  </si>
  <si>
    <t xml:space="preserve">0.51 TFLOPS</t>
  </si>
  <si>
    <t xml:space="preserve">261 TOPS</t>
  </si>
  <si>
    <t xml:space="preserve">522 TOPS</t>
  </si>
  <si>
    <t xml:space="preserve">100GB/sec (NVLink 2.0 2-way)</t>
  </si>
  <si>
    <t xml:space="preserve">18.6B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</si>
  <si>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双槽位 单涡轮风扇 主动散热</t>
    </r>
  </si>
  <si>
    <r>
      <rPr>
        <sz val="9"/>
        <rFont val="微软雅黑"/>
        <family val="0"/>
        <charset val="1"/>
      </rPr>
      <t xml:space="preserve">260W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</si>
  <si>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r>
      <rPr>
        <b val="true"/>
        <sz val="10"/>
        <rFont val="微软雅黑"/>
        <family val="0"/>
        <charset val="1"/>
      </rPr>
      <t xml:space="preserve">RTX 8000</t>
    </r>
    <r>
      <rPr>
        <b val="true"/>
        <sz val="10"/>
        <rFont val="Noto Sans CJK SC"/>
        <family val="2"/>
        <charset val="1"/>
      </rPr>
      <t xml:space="preserve">（被动散热）</t>
    </r>
  </si>
  <si>
    <t xml:space="preserve">1230 MHz</t>
  </si>
  <si>
    <t xml:space="preserve">1620 MHz</t>
  </si>
  <si>
    <t xml:space="preserve">624 GB/sec</t>
  </si>
  <si>
    <t xml:space="preserve">29.9 TFLOPS</t>
  </si>
  <si>
    <t xml:space="preserve">≈119 TFLOPS</t>
  </si>
  <si>
    <t xml:space="preserve">14.9 TFLOPS</t>
  </si>
  <si>
    <t xml:space="preserve">≈238 TOPS</t>
  </si>
  <si>
    <t xml:space="preserve">≈477 TOPS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</si>
  <si>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双槽位 被动散热</t>
    </r>
  </si>
  <si>
    <r>
      <rPr>
        <b val="true"/>
        <sz val="10"/>
        <rFont val="微软雅黑"/>
        <family val="0"/>
        <charset val="1"/>
      </rPr>
      <t xml:space="preserve">RTX 6000</t>
    </r>
    <r>
      <rPr>
        <b val="true"/>
        <sz val="10"/>
        <rFont val="Noto Sans CJK SC"/>
        <family val="2"/>
        <charset val="1"/>
      </rPr>
      <t xml:space="preserve">（主动散热）</t>
    </r>
  </si>
  <si>
    <t xml:space="preserve">1455MHz</t>
  </si>
  <si>
    <t xml:space="preserve">1770MHz</t>
  </si>
  <si>
    <r>
      <rPr>
        <b val="true"/>
        <sz val="10"/>
        <rFont val="微软雅黑"/>
        <family val="0"/>
        <charset val="1"/>
      </rPr>
      <t xml:space="preserve">RTX 6000</t>
    </r>
    <r>
      <rPr>
        <b val="true"/>
        <sz val="10"/>
        <rFont val="Noto Sans CJK SC"/>
        <family val="2"/>
        <charset val="1"/>
      </rPr>
      <t xml:space="preserve">（被动散热）</t>
    </r>
  </si>
  <si>
    <t xml:space="preserve">1305 MHz</t>
  </si>
  <si>
    <t xml:space="preserve">1560 MHz</t>
  </si>
  <si>
    <t xml:space="preserve">RTX 5000</t>
  </si>
  <si>
    <t xml:space="preserve">3072</t>
  </si>
  <si>
    <t xml:space="preserve">384</t>
  </si>
  <si>
    <t xml:space="preserve">1620MHz</t>
  </si>
  <si>
    <t xml:space="preserve">1815MHz</t>
  </si>
  <si>
    <t xml:space="preserve">448 GB/sec</t>
  </si>
  <si>
    <t xml:space="preserve">22.4 TFLOPS</t>
  </si>
  <si>
    <t xml:space="preserve">89.2 TFLOPS</t>
  </si>
  <si>
    <t xml:space="preserve">11.2 TFLOPS</t>
  </si>
  <si>
    <t xml:space="preserve">0.35 TFLOPS</t>
  </si>
  <si>
    <t xml:space="preserve">178 TOPS</t>
  </si>
  <si>
    <t xml:space="preserve">357 TOPS</t>
  </si>
  <si>
    <t xml:space="preserve">50GB/sec (NVLink 2.0 1-way)</t>
  </si>
  <si>
    <t xml:space="preserve">13.6B</t>
  </si>
  <si>
    <t xml:space="preserve">230W</t>
  </si>
  <si>
    <t xml:space="preserve">RTX 4000</t>
  </si>
  <si>
    <t xml:space="preserve">2304</t>
  </si>
  <si>
    <t xml:space="preserve">1005MHz</t>
  </si>
  <si>
    <t xml:space="preserve">1540MHz</t>
  </si>
  <si>
    <t xml:space="preserve">416 GB/Sec</t>
  </si>
  <si>
    <t xml:space="preserve">14.2 TFLOPS</t>
  </si>
  <si>
    <t xml:space="preserve">57 TFLOPS</t>
  </si>
  <si>
    <t xml:space="preserve">7.1 TFLOPS</t>
  </si>
  <si>
    <t xml:space="preserve">0.22 TFLOPS</t>
  </si>
  <si>
    <t xml:space="preserve">114 TOPS</t>
  </si>
  <si>
    <t xml:space="preserve">228 TOPS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</si>
  <si>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单槽位 单涡轮风扇 主动散热</t>
    </r>
  </si>
  <si>
    <t xml:space="preserve">125W</t>
  </si>
  <si>
    <t xml:space="preserve">Titan RTX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</si>
  <si>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双槽位 双下压风扇 主动散热</t>
    </r>
  </si>
  <si>
    <r>
      <rPr>
        <sz val="9"/>
        <rFont val="微软雅黑"/>
        <family val="0"/>
        <charset val="1"/>
      </rPr>
      <t xml:space="preserve">280W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</si>
  <si>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t xml:space="preserve">RTX 2080 Ti (EOL)</t>
  </si>
  <si>
    <t xml:space="preserve">4352</t>
  </si>
  <si>
    <t xml:space="preserve">544</t>
  </si>
  <si>
    <t xml:space="preserve">1635MHz</t>
  </si>
  <si>
    <t xml:space="preserve">352-bit</t>
  </si>
  <si>
    <t xml:space="preserve">616 GB/sec</t>
  </si>
  <si>
    <t xml:space="preserve">11GB</t>
  </si>
  <si>
    <t xml:space="preserve">26.9 TFLOPS</t>
  </si>
  <si>
    <t xml:space="preserve">113.8 TFLOPS</t>
  </si>
  <si>
    <t xml:space="preserve">13.4 TFLOPS</t>
  </si>
  <si>
    <t xml:space="preserve">0.42 TFLOPS</t>
  </si>
  <si>
    <t xml:space="preserve">227 TOPS</t>
  </si>
  <si>
    <t xml:space="preserve">455 TOPS</t>
  </si>
  <si>
    <t xml:space="preserve">RTX 2080 SUPER  (EOL)</t>
  </si>
  <si>
    <t xml:space="preserve">1650MHz</t>
  </si>
  <si>
    <t xml:space="preserve">15.5Gbps GDDR6</t>
  </si>
  <si>
    <t xml:space="preserve">496 GB/sec</t>
  </si>
  <si>
    <t xml:space="preserve">22.3 TFLOPS</t>
  </si>
  <si>
    <r>
      <rPr>
        <sz val="9"/>
        <rFont val="微软雅黑"/>
        <family val="0"/>
        <charset val="1"/>
      </rPr>
      <t xml:space="preserve">250W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</si>
  <si>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t xml:space="preserve">RTX 2080 (EOL)</t>
  </si>
  <si>
    <t xml:space="preserve">2944</t>
  </si>
  <si>
    <t xml:space="preserve">1515MHz</t>
  </si>
  <si>
    <t xml:space="preserve">21.2 TFLOPS</t>
  </si>
  <si>
    <t xml:space="preserve">84.8 TFLOPS</t>
  </si>
  <si>
    <t xml:space="preserve">10.6 TFLOPS</t>
  </si>
  <si>
    <t xml:space="preserve">0.33 TFLOPS</t>
  </si>
  <si>
    <t xml:space="preserve">170 TOPS</t>
  </si>
  <si>
    <t xml:space="preserve">339 TOPS</t>
  </si>
  <si>
    <r>
      <rPr>
        <sz val="9"/>
        <rFont val="微软雅黑"/>
        <family val="0"/>
        <charset val="1"/>
      </rPr>
      <t xml:space="preserve">225W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</si>
  <si>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t xml:space="preserve">RTX 2070 (EOL)</t>
  </si>
  <si>
    <t xml:space="preserve">TU106 (Turing)</t>
  </si>
  <si>
    <t xml:space="preserve">1710MHz</t>
  </si>
  <si>
    <t xml:space="preserve">59.7 TFLOPS</t>
  </si>
  <si>
    <t xml:space="preserve">7.5 TFLOPS</t>
  </si>
  <si>
    <t xml:space="preserve">0.23 TFLOPS</t>
  </si>
  <si>
    <t xml:space="preserve">119 TOPS</t>
  </si>
  <si>
    <t xml:space="preserve">239 TOPS</t>
  </si>
  <si>
    <t xml:space="preserve">10.8B</t>
  </si>
  <si>
    <r>
      <rPr>
        <sz val="9"/>
        <rFont val="微软雅黑"/>
        <family val="0"/>
        <charset val="1"/>
      </rPr>
      <t xml:space="preserve">185W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550W)</t>
    </r>
  </si>
  <si>
    <t xml:space="preserve">V100S</t>
  </si>
  <si>
    <t xml:space="preserve">Volta</t>
  </si>
  <si>
    <t xml:space="preserve">GV100 (Volta)</t>
  </si>
  <si>
    <t xml:space="preserve">—</t>
  </si>
  <si>
    <r>
      <rPr>
        <sz val="9"/>
        <rFont val="Noto Sans CJK SC"/>
        <family val="2"/>
        <charset val="1"/>
      </rPr>
      <t xml:space="preserve">同时运行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与</t>
    </r>
    <r>
      <rPr>
        <sz val="9"/>
        <rFont val="微软雅黑"/>
        <family val="0"/>
        <charset val="1"/>
      </rPr>
      <t xml:space="preserve">CPU</t>
    </r>
    <r>
      <rPr>
        <sz val="9"/>
        <rFont val="Noto Sans CJK SC"/>
        <family val="2"/>
        <charset val="1"/>
      </rPr>
      <t xml:space="preserve">服务器的数据中心</t>
    </r>
  </si>
  <si>
    <t xml:space="preserve">深度学习大模型算例的并行运行，深度学习</t>
  </si>
  <si>
    <t xml:space="preserve">5120</t>
  </si>
  <si>
    <t xml:space="preserve">640</t>
  </si>
  <si>
    <t xml:space="preserve">1245MHz</t>
  </si>
  <si>
    <t xml:space="preserve">1597MHz</t>
  </si>
  <si>
    <t xml:space="preserve">2.2GHz HBM2</t>
  </si>
  <si>
    <t xml:space="preserve">4096-bit</t>
  </si>
  <si>
    <t xml:space="preserve">1,134GB/sec</t>
  </si>
  <si>
    <t xml:space="preserve">32GB</t>
  </si>
  <si>
    <t xml:space="preserve">32.8 TFLOPS</t>
  </si>
  <si>
    <t xml:space="preserve">130 TFLOPS</t>
  </si>
  <si>
    <t xml:space="preserve">16.4 TFLOPS</t>
  </si>
  <si>
    <t xml:space="preserve">8.2 TFLOPS</t>
  </si>
  <si>
    <r>
      <rPr>
        <sz val="9"/>
        <rFont val="微软雅黑"/>
        <family val="0"/>
        <charset val="1"/>
      </rPr>
      <t xml:space="preserve">≈66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</si>
  <si>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12nm FFN, 21.1B</t>
  </si>
  <si>
    <t xml:space="preserve">V100 SXM2</t>
  </si>
  <si>
    <t xml:space="preserve">科学计算</t>
  </si>
  <si>
    <t xml:space="preserve">1.75GHz HBM2</t>
  </si>
  <si>
    <t xml:space="preserve">900GB/sec</t>
  </si>
  <si>
    <t xml:space="preserve">32GB
16GB</t>
  </si>
  <si>
    <t xml:space="preserve">31.4 TFLOPS</t>
  </si>
  <si>
    <t xml:space="preserve">15.7 TFLOPS</t>
  </si>
  <si>
    <t xml:space="preserve">7.8 TFLOPS</t>
  </si>
  <si>
    <r>
      <rPr>
        <sz val="9"/>
        <rFont val="微软雅黑"/>
        <family val="0"/>
        <charset val="1"/>
      </rPr>
      <t xml:space="preserve">≈63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</si>
  <si>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Nvlink 2.0 300GB/sec</t>
  </si>
  <si>
    <t xml:space="preserve">V100</t>
  </si>
  <si>
    <t xml:space="preserve">28.2 TFLOPS</t>
  </si>
  <si>
    <t xml:space="preserve">112 TFLOPS</t>
  </si>
  <si>
    <t xml:space="preserve">14.1 TFLOPS</t>
  </si>
  <si>
    <t xml:space="preserve">7 TFLOPS</t>
  </si>
  <si>
    <r>
      <rPr>
        <sz val="9"/>
        <rFont val="微软雅黑"/>
        <family val="0"/>
        <charset val="1"/>
      </rPr>
      <t xml:space="preserve">≈56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</si>
  <si>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Titan V (EOL)</t>
  </si>
  <si>
    <t xml:space="preserve">1200MHz</t>
  </si>
  <si>
    <t xml:space="preserve">1.7GHz HBM2</t>
  </si>
  <si>
    <t xml:space="preserve">652.8GB/sec</t>
  </si>
  <si>
    <t xml:space="preserve">12GB</t>
  </si>
  <si>
    <t xml:space="preserve">27.6 TFLOPS</t>
  </si>
  <si>
    <t xml:space="preserve">110 TFLOPS</t>
  </si>
  <si>
    <t xml:space="preserve">13.8 TFLOPS</t>
  </si>
  <si>
    <t xml:space="preserve">6.9 TFLOPS</t>
  </si>
  <si>
    <r>
      <rPr>
        <sz val="9"/>
        <rFont val="微软雅黑"/>
        <family val="0"/>
        <charset val="1"/>
      </rPr>
      <t xml:space="preserve">≈55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</si>
  <si>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21.1B</t>
  </si>
  <si>
    <r>
      <rPr>
        <sz val="9"/>
        <rFont val="微软雅黑"/>
        <family val="0"/>
        <charset val="1"/>
      </rPr>
      <t xml:space="preserve">250W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600W)</t>
    </r>
  </si>
  <si>
    <t xml:space="preserve">GV100 (EOL)</t>
  </si>
  <si>
    <t xml:space="preserve">1202MHz</t>
  </si>
  <si>
    <t xml:space="preserve">870 GB/sec</t>
  </si>
  <si>
    <t xml:space="preserve">29.6 TFLOPS</t>
  </si>
  <si>
    <t xml:space="preserve">118.5 TFLOPS</t>
  </si>
  <si>
    <t xml:space="preserve">14.8 TFLOPS</t>
  </si>
  <si>
    <t xml:space="preserve">7.4 TFLOPS</t>
  </si>
  <si>
    <r>
      <rPr>
        <sz val="9"/>
        <rFont val="微软雅黑"/>
        <family val="0"/>
        <charset val="1"/>
      </rPr>
      <t xml:space="preserve">≈59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</si>
  <si>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200GB/sec (NVLink 2.0 4-way)</t>
  </si>
  <si>
    <t xml:space="preserve">GP100 (EOL)</t>
  </si>
  <si>
    <t xml:space="preserve">Pascal</t>
  </si>
  <si>
    <t xml:space="preserve">GP100 (Pascal)</t>
  </si>
  <si>
    <t xml:space="preserve">3,584 (FP32)
1,792 (FP64)</t>
  </si>
  <si>
    <t xml:space="preserve">1380MHz</t>
  </si>
  <si>
    <t xml:space="preserve">1430MHz</t>
  </si>
  <si>
    <t xml:space="preserve">717GB/sec</t>
  </si>
  <si>
    <t xml:space="preserve">20.7 TFLOPS</t>
  </si>
  <si>
    <t xml:space="preserve">160GB/sec (NVLink 1.0 4-way)</t>
  </si>
  <si>
    <t xml:space="preserve">15.3B</t>
  </si>
  <si>
    <t xml:space="preserve">235W</t>
  </si>
  <si>
    <t xml:space="preserve">P100 SXM2 (EOL)</t>
  </si>
  <si>
    <t xml:space="preserve">1328MHz</t>
  </si>
  <si>
    <t xml:space="preserve">1480MHz</t>
  </si>
  <si>
    <t xml:space="preserve">1.4GHz HBM2</t>
  </si>
  <si>
    <t xml:space="preserve">732GB/sec</t>
  </si>
  <si>
    <t xml:space="preserve">5.3 TFLOPS</t>
  </si>
  <si>
    <t xml:space="preserve">Nvlink 1.0 160 GB/sec</t>
  </si>
  <si>
    <t xml:space="preserve">16nm FinFET+, 15.3B</t>
  </si>
  <si>
    <t xml:space="preserve">P100 (EOL)</t>
  </si>
  <si>
    <t xml:space="preserve">732GB/s (16GB) 
549GB/s (12GB)</t>
  </si>
  <si>
    <t xml:space="preserve">16GB
12GB</t>
  </si>
  <si>
    <t xml:space="preserve">18.7 TFLOPS</t>
  </si>
  <si>
    <t xml:space="preserve">9.3 TFLOPS</t>
  </si>
  <si>
    <t xml:space="preserve">4.7 TFLOPS</t>
  </si>
  <si>
    <t xml:space="preserve">P40 (EOL)</t>
  </si>
  <si>
    <t xml:space="preserve">GP102 (Pascal)</t>
  </si>
  <si>
    <t xml:space="preserve">超大规模科学计算</t>
  </si>
  <si>
    <t xml:space="preserve">简化数据中心级的模型训练的推理</t>
  </si>
  <si>
    <t xml:space="preserve">3840</t>
  </si>
  <si>
    <t xml:space="preserve">1303MHz</t>
  </si>
  <si>
    <t xml:space="preserve">1531MHz</t>
  </si>
  <si>
    <t xml:space="preserve">7.2Gbps GDDR5</t>
  </si>
  <si>
    <t xml:space="preserve">346GB/sec</t>
  </si>
  <si>
    <t xml:space="preserve">0.18 TFLOPS</t>
  </si>
  <si>
    <t xml:space="preserve">12 TFLOPS</t>
  </si>
  <si>
    <t xml:space="preserve">0.36 TFLOPS</t>
  </si>
  <si>
    <r>
      <rPr>
        <sz val="9"/>
        <rFont val="微软雅黑"/>
        <family val="0"/>
        <charset val="1"/>
      </rPr>
      <t xml:space="preserve">≈47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</si>
  <si>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12B</t>
  </si>
  <si>
    <t xml:space="preserve">P4 (EOL)</t>
  </si>
  <si>
    <t xml:space="preserve">GP104 (Pascal)</t>
  </si>
  <si>
    <t xml:space="preserve">小型，低功耗，适合扩展部署</t>
  </si>
  <si>
    <t xml:space="preserve">适合线上运营及视频处理</t>
  </si>
  <si>
    <t xml:space="preserve">810MHz</t>
  </si>
  <si>
    <t xml:space="preserve">1063MHz</t>
  </si>
  <si>
    <t xml:space="preserve">6Gbps GDDR5</t>
  </si>
  <si>
    <t xml:space="preserve">192GB/sec</t>
  </si>
  <si>
    <t xml:space="preserve">0.09 TFLOPS</t>
  </si>
  <si>
    <t xml:space="preserve">5.5 TFLOPS</t>
  </si>
  <si>
    <t xml:space="preserve">0.17 TFLOPS</t>
  </si>
  <si>
    <r>
      <rPr>
        <sz val="9"/>
        <rFont val="微软雅黑"/>
        <family val="0"/>
        <charset val="1"/>
      </rPr>
      <t xml:space="preserve">≈22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</si>
  <si>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7.2B</t>
  </si>
  <si>
    <t xml:space="preserve">50-75W</t>
  </si>
  <si>
    <t xml:space="preserve">Titan Xp (EOL)</t>
  </si>
  <si>
    <t xml:space="preserve">1481MHz</t>
  </si>
  <si>
    <t xml:space="preserve">1582MHz</t>
  </si>
  <si>
    <t xml:space="preserve">11.4Gbps GDDR5X</t>
  </si>
  <si>
    <t xml:space="preserve">547.7GB/sec</t>
  </si>
  <si>
    <t xml:space="preserve">0.19 TFLOPS</t>
  </si>
  <si>
    <t xml:space="preserve">0.38 TFLOPS</t>
  </si>
  <si>
    <r>
      <rPr>
        <sz val="9"/>
        <rFont val="微软雅黑"/>
        <family val="0"/>
        <charset val="1"/>
      </rPr>
      <t xml:space="preserve">≈48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</si>
  <si>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GTX 1080 Ti FE (EOL)</t>
  </si>
  <si>
    <t xml:space="preserve">深度学习（高性价比）</t>
  </si>
  <si>
    <t xml:space="preserve">11Gbps GDDR5X</t>
  </si>
  <si>
    <t xml:space="preserve">484GB/sec</t>
  </si>
  <si>
    <t xml:space="preserve">11.4 TFLOPS</t>
  </si>
  <si>
    <r>
      <rPr>
        <sz val="9"/>
        <rFont val="微软雅黑"/>
        <family val="0"/>
        <charset val="1"/>
      </rPr>
      <t xml:space="preserve">≈45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</si>
  <si>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P6000 (EOL)</t>
  </si>
  <si>
    <t xml:space="preserve">1417MHz</t>
  </si>
  <si>
    <t xml:space="preserve">1530MHz</t>
  </si>
  <si>
    <t xml:space="preserve">9Gbps GDDR5</t>
  </si>
  <si>
    <t xml:space="preserve">432GB/sec</t>
  </si>
  <si>
    <t xml:space="preserve">0.37 TFLOPS</t>
  </si>
  <si>
    <t xml:space="preserve">P5000 (EOL)</t>
  </si>
  <si>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渲染，</t>
    </r>
    <r>
      <rPr>
        <sz val="9"/>
        <rFont val="微软雅黑"/>
        <family val="0"/>
        <charset val="1"/>
      </rPr>
      <t xml:space="preserve">CAD / CAM</t>
    </r>
  </si>
  <si>
    <t xml:space="preserve">1733MHz</t>
  </si>
  <si>
    <t xml:space="preserve">288GB/sec</t>
  </si>
  <si>
    <t xml:space="preserve">0.14 TFLOPS</t>
  </si>
  <si>
    <t xml:space="preserve">8.9 TFLOPS</t>
  </si>
  <si>
    <t xml:space="preserve">0.28 TFLOPS</t>
  </si>
  <si>
    <r>
      <rPr>
        <sz val="9"/>
        <rFont val="微软雅黑"/>
        <family val="0"/>
        <charset val="1"/>
      </rPr>
      <t xml:space="preserve">≈36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</si>
  <si>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180W</t>
  </si>
  <si>
    <t xml:space="preserve">P4000 (EOL)</t>
  </si>
  <si>
    <r>
      <rPr>
        <sz val="9"/>
        <rFont val="微软雅黑"/>
        <family val="0"/>
        <charset val="1"/>
      </rPr>
      <t xml:space="preserve">CAD / CAM </t>
    </r>
    <r>
      <rPr>
        <sz val="9"/>
        <rFont val="Noto Sans CJK SC"/>
        <family val="2"/>
        <charset val="1"/>
      </rPr>
      <t xml:space="preserve">中型处理</t>
    </r>
  </si>
  <si>
    <t xml:space="preserve">1792</t>
  </si>
  <si>
    <t xml:space="preserve">1202 MHz</t>
  </si>
  <si>
    <t xml:space="preserve">1480 MHz</t>
  </si>
  <si>
    <t xml:space="preserve">5.8Gbps GDDR5</t>
  </si>
  <si>
    <t xml:space="preserve">243GB/sec</t>
  </si>
  <si>
    <t xml:space="preserve">0.08 TFLOPS</t>
  </si>
  <si>
    <r>
      <rPr>
        <sz val="9"/>
        <rFont val="微软雅黑"/>
        <family val="0"/>
        <charset val="1"/>
      </rPr>
      <t xml:space="preserve">≈21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</si>
  <si>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105W</t>
  </si>
  <si>
    <r>
      <rPr>
        <b val="true"/>
        <sz val="14"/>
        <color rgb="FF1F4E00"/>
        <rFont val="微软雅黑"/>
        <family val="0"/>
        <charset val="1"/>
      </rPr>
      <t xml:space="preserve">GPU </t>
    </r>
    <r>
      <rPr>
        <b val="true"/>
        <sz val="14"/>
        <color rgb="FF1F4E00"/>
        <rFont val="Noto Sans CJK SC"/>
        <family val="0"/>
        <charset val="1"/>
      </rPr>
      <t xml:space="preserve">选型对比工具（下拉选择，自动对比）</t>
    </r>
  </si>
  <si>
    <r>
      <rPr>
        <sz val="9"/>
        <color rgb="FF595959"/>
        <rFont val="Noto Sans CJK SC"/>
        <family val="0"/>
        <charset val="1"/>
      </rPr>
      <t xml:space="preserve">使用方法：在第 </t>
    </r>
    <r>
      <rPr>
        <sz val="9"/>
        <color rgb="FF595959"/>
        <rFont val="微软雅黑"/>
        <family val="0"/>
        <charset val="1"/>
      </rPr>
      <t xml:space="preserve">6 </t>
    </r>
    <r>
      <rPr>
        <sz val="9"/>
        <color rgb="FF595959"/>
        <rFont val="Noto Sans CJK SC"/>
        <family val="0"/>
        <charset val="1"/>
      </rPr>
      <t xml:space="preserve">行黄色单元格中下拉选择 </t>
    </r>
    <r>
      <rPr>
        <sz val="9"/>
        <color rgb="FF595959"/>
        <rFont val="微软雅黑"/>
        <family val="0"/>
        <charset val="1"/>
      </rPr>
      <t xml:space="preserve">3~6 </t>
    </r>
    <r>
      <rPr>
        <sz val="9"/>
        <color rgb="FF595959"/>
        <rFont val="Noto Sans CJK SC"/>
        <family val="0"/>
        <charset val="1"/>
      </rPr>
      <t xml:space="preserve">款型号（至少 </t>
    </r>
    <r>
      <rPr>
        <sz val="9"/>
        <color rgb="FF595959"/>
        <rFont val="微软雅黑"/>
        <family val="0"/>
        <charset val="1"/>
      </rPr>
      <t xml:space="preserve">3 </t>
    </r>
    <r>
      <rPr>
        <sz val="9"/>
        <color rgb="FF595959"/>
        <rFont val="Noto Sans CJK SC"/>
        <family val="0"/>
        <charset val="1"/>
      </rPr>
      <t xml:space="preserve">款），下方参数表、数值指标与柱状图将自动更新。</t>
    </r>
  </si>
  <si>
    <r>
      <rPr>
        <sz val="9"/>
        <color rgb="FF595959"/>
        <rFont val="Noto Sans CJK SC"/>
        <family val="0"/>
        <charset val="1"/>
      </rPr>
      <t xml:space="preserve">数据来源：「参数对比」表；算力标记 </t>
    </r>
    <r>
      <rPr>
        <sz val="9"/>
        <color rgb="FF595959"/>
        <rFont val="微软雅黑"/>
        <family val="0"/>
        <charset val="1"/>
      </rPr>
      <t xml:space="preserve">²=</t>
    </r>
    <r>
      <rPr>
        <sz val="9"/>
        <color rgb="FF595959"/>
        <rFont val="Noto Sans CJK SC"/>
        <family val="0"/>
        <charset val="1"/>
      </rPr>
      <t xml:space="preserve">稀疏口径，</t>
    </r>
    <r>
      <rPr>
        <sz val="9"/>
        <color rgb="FF595959"/>
        <rFont val="微软雅黑"/>
        <family val="0"/>
        <charset val="1"/>
      </rPr>
      <t xml:space="preserve">*=</t>
    </r>
    <r>
      <rPr>
        <sz val="9"/>
        <color rgb="FF595959"/>
        <rFont val="Noto Sans CJK SC"/>
        <family val="0"/>
        <charset val="1"/>
      </rPr>
      <t xml:space="preserve">稀疏口径，≈</t>
    </r>
    <r>
      <rPr>
        <sz val="9"/>
        <color rgb="FF595959"/>
        <rFont val="微软雅黑"/>
        <family val="0"/>
        <charset val="1"/>
      </rPr>
      <t xml:space="preserve">=</t>
    </r>
    <r>
      <rPr>
        <sz val="9"/>
        <color rgb="FF595959"/>
        <rFont val="Noto Sans CJK SC"/>
        <family val="0"/>
        <charset val="1"/>
      </rPr>
      <t xml:space="preserve">推算值。型号含重名列（</t>
    </r>
    <r>
      <rPr>
        <sz val="9"/>
        <color rgb="FF595959"/>
        <rFont val="微软雅黑"/>
        <family val="0"/>
        <charset val="1"/>
      </rPr>
      <t xml:space="preserve">A40</t>
    </r>
    <r>
      <rPr>
        <sz val="9"/>
        <color rgb="FF595959"/>
        <rFont val="Noto Sans CJK SC"/>
        <family val="0"/>
        <charset val="1"/>
      </rPr>
      <t xml:space="preserve">、</t>
    </r>
    <r>
      <rPr>
        <sz val="9"/>
        <color rgb="FF595959"/>
        <rFont val="微软雅黑"/>
        <family val="0"/>
        <charset val="1"/>
      </rPr>
      <t xml:space="preserve">RTX 8000</t>
    </r>
    <r>
      <rPr>
        <sz val="9"/>
        <color rgb="FF595959"/>
        <rFont val="Noto Sans CJK SC"/>
        <family val="0"/>
        <charset val="1"/>
      </rPr>
      <t xml:space="preserve">、</t>
    </r>
    <r>
      <rPr>
        <sz val="9"/>
        <color rgb="FF595959"/>
        <rFont val="微软雅黑"/>
        <family val="0"/>
        <charset val="1"/>
      </rPr>
      <t xml:space="preserve">RTX 6000</t>
    </r>
    <r>
      <rPr>
        <sz val="9"/>
        <color rgb="FF595959"/>
        <rFont val="Noto Sans CJK SC"/>
        <family val="0"/>
        <charset val="1"/>
      </rPr>
      <t xml:space="preserve">）时下拉选择任一即可（参数相同）。</t>
    </r>
  </si>
  <si>
    <t xml:space="preserve">对比型号 →</t>
  </si>
  <si>
    <r>
      <rPr>
        <sz val="8"/>
        <color rgb="FF808080"/>
        <rFont val="Noto Sans CJK SC"/>
        <family val="0"/>
        <charset val="1"/>
      </rPr>
      <t xml:space="preserve">（红色为建议必选的前 </t>
    </r>
    <r>
      <rPr>
        <sz val="8"/>
        <color rgb="FF808080"/>
        <rFont val="微软雅黑"/>
        <family val="0"/>
        <charset val="1"/>
      </rPr>
      <t xml:space="preserve">3 </t>
    </r>
    <r>
      <rPr>
        <sz val="8"/>
        <color rgb="FF808080"/>
        <rFont val="Noto Sans CJK SC"/>
        <family val="0"/>
        <charset val="1"/>
      </rPr>
      <t xml:space="preserve">款）</t>
    </r>
  </si>
  <si>
    <t xml:space="preserve">参数</t>
  </si>
  <si>
    <r>
      <rPr>
        <sz val="9"/>
        <rFont val="Noto Sans CJK SC"/>
        <family val="0"/>
        <charset val="1"/>
      </rPr>
      <t xml:space="preserve">目标市场（细分 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0"/>
        <charset val="1"/>
      </rPr>
      <t xml:space="preserve">）</t>
    </r>
  </si>
  <si>
    <r>
      <rPr>
        <sz val="9"/>
        <rFont val="Noto Sans CJK SC"/>
        <family val="0"/>
        <charset val="1"/>
      </rPr>
      <t xml:space="preserve">目标市场（细分 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0"/>
        <charset val="1"/>
      </rPr>
      <t xml:space="preserve">）</t>
    </r>
  </si>
  <si>
    <t xml:space="preserve">数值指标（随选择自动更新，供下方柱状图）</t>
  </si>
  <si>
    <r>
      <rPr>
        <b val="true"/>
        <sz val="9"/>
        <rFont val="Noto Sans CJK SC"/>
        <family val="0"/>
        <charset val="1"/>
      </rPr>
      <t xml:space="preserve">指标 </t>
    </r>
    <r>
      <rPr>
        <b val="true"/>
        <sz val="9"/>
        <rFont val="微软雅黑"/>
        <family val="0"/>
        <charset val="1"/>
      </rPr>
      <t xml:space="preserve">\ </t>
    </r>
    <r>
      <rPr>
        <b val="true"/>
        <sz val="9"/>
        <rFont val="Noto Sans CJK SC"/>
        <family val="0"/>
        <charset val="1"/>
      </rPr>
      <t xml:space="preserve">型号</t>
    </r>
  </si>
  <si>
    <r>
      <rPr>
        <sz val="9"/>
        <rFont val="微软雅黑"/>
        <family val="0"/>
        <charset val="1"/>
      </rPr>
      <t xml:space="preserve">FP32 </t>
    </r>
    <r>
      <rPr>
        <sz val="9"/>
        <rFont val="Noto Sans CJK SC"/>
        <family val="0"/>
        <charset val="1"/>
      </rPr>
      <t xml:space="preserve">算力 </t>
    </r>
    <r>
      <rPr>
        <sz val="9"/>
        <rFont val="微软雅黑"/>
        <family val="0"/>
        <charset val="1"/>
      </rPr>
      <t xml:space="preserve">(TFLOPS)</t>
    </r>
  </si>
  <si>
    <r>
      <rPr>
        <sz val="9"/>
        <rFont val="微软雅黑"/>
        <family val="0"/>
        <charset val="1"/>
      </rPr>
      <t xml:space="preserve">FP16 Tensor </t>
    </r>
    <r>
      <rPr>
        <sz val="9"/>
        <rFont val="Noto Sans CJK SC"/>
        <family val="0"/>
        <charset val="1"/>
      </rPr>
      <t xml:space="preserve">稠密 </t>
    </r>
    <r>
      <rPr>
        <sz val="9"/>
        <rFont val="微软雅黑"/>
        <family val="0"/>
        <charset val="1"/>
      </rPr>
      <t xml:space="preserve">(TFLOPS)</t>
    </r>
  </si>
  <si>
    <r>
      <rPr>
        <sz val="9"/>
        <rFont val="微软雅黑"/>
        <family val="0"/>
        <charset val="1"/>
      </rPr>
      <t xml:space="preserve">FP16 Tensor </t>
    </r>
    <r>
      <rPr>
        <sz val="9"/>
        <rFont val="Noto Sans CJK SC"/>
        <family val="0"/>
        <charset val="1"/>
      </rPr>
      <t xml:space="preserve">稀疏 </t>
    </r>
    <r>
      <rPr>
        <sz val="9"/>
        <rFont val="微软雅黑"/>
        <family val="0"/>
        <charset val="1"/>
      </rPr>
      <t xml:space="preserve">(TFLOPS)</t>
    </r>
  </si>
  <si>
    <r>
      <rPr>
        <sz val="9"/>
        <rFont val="微软雅黑"/>
        <family val="0"/>
        <charset val="1"/>
      </rPr>
      <t xml:space="preserve">FP4 </t>
    </r>
    <r>
      <rPr>
        <sz val="9"/>
        <rFont val="Noto Sans CJK SC"/>
        <family val="0"/>
        <charset val="1"/>
      </rPr>
      <t xml:space="preserve">稠密算力 </t>
    </r>
    <r>
      <rPr>
        <sz val="9"/>
        <rFont val="微软雅黑"/>
        <family val="0"/>
        <charset val="1"/>
      </rPr>
      <t xml:space="preserve">(PFLOPS</t>
    </r>
    <r>
      <rPr>
        <sz val="9"/>
        <rFont val="Noto Sans CJK SC"/>
        <family val="0"/>
        <charset val="1"/>
      </rPr>
      <t xml:space="preserve">，仅 </t>
    </r>
    <r>
      <rPr>
        <sz val="9"/>
        <rFont val="微软雅黑"/>
        <family val="0"/>
        <charset val="1"/>
      </rPr>
      <t xml:space="preserve">Blackwell)</t>
    </r>
  </si>
  <si>
    <r>
      <rPr>
        <sz val="9"/>
        <rFont val="微软雅黑"/>
        <family val="0"/>
        <charset val="1"/>
      </rPr>
      <t xml:space="preserve">INT8 </t>
    </r>
    <r>
      <rPr>
        <sz val="9"/>
        <rFont val="Noto Sans CJK SC"/>
        <family val="0"/>
        <charset val="1"/>
      </rPr>
      <t xml:space="preserve">峰值 </t>
    </r>
    <r>
      <rPr>
        <sz val="9"/>
        <rFont val="微软雅黑"/>
        <family val="0"/>
        <charset val="1"/>
      </rPr>
      <t xml:space="preserve">(TOPS)</t>
    </r>
  </si>
  <si>
    <r>
      <rPr>
        <sz val="9"/>
        <rFont val="Noto Sans CJK SC"/>
        <family val="0"/>
        <charset val="1"/>
      </rPr>
      <t xml:space="preserve">显存容量 </t>
    </r>
    <r>
      <rPr>
        <sz val="9"/>
        <rFont val="微软雅黑"/>
        <family val="0"/>
        <charset val="1"/>
      </rPr>
      <t xml:space="preserve">(GB)</t>
    </r>
  </si>
  <si>
    <r>
      <rPr>
        <sz val="9"/>
        <rFont val="Noto Sans CJK SC"/>
        <family val="0"/>
        <charset val="1"/>
      </rPr>
      <t xml:space="preserve">显存带宽 </t>
    </r>
    <r>
      <rPr>
        <sz val="9"/>
        <rFont val="微软雅黑"/>
        <family val="0"/>
        <charset val="1"/>
      </rPr>
      <t xml:space="preserve">(GB/s)</t>
    </r>
  </si>
  <si>
    <r>
      <rPr>
        <sz val="9"/>
        <rFont val="微软雅黑"/>
        <family val="0"/>
        <charset val="1"/>
      </rPr>
      <t xml:space="preserve">H200 PCIe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NVL</t>
    </r>
    <r>
      <rPr>
        <sz val="9"/>
        <rFont val="Noto Sans CJK SC"/>
        <family val="2"/>
        <charset val="1"/>
      </rPr>
      <t xml:space="preserve">）</t>
    </r>
  </si>
  <si>
    <t xml:space="preserve">RTX 8000</t>
  </si>
  <si>
    <t xml:space="preserve">RTX 6000</t>
  </si>
  <si>
    <t xml:space="preserve">架构</t>
  </si>
  <si>
    <r>
      <rPr>
        <sz val="9"/>
        <rFont val="微软雅黑"/>
        <family val="0"/>
        <charset val="1"/>
      </rPr>
      <t xml:space="preserve">GB202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0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</si>
  <si>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GB203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0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</si>
  <si>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Hopper</t>
    </r>
    <r>
      <rPr>
        <sz val="9"/>
        <rFont val="Noto Sans CJK SC"/>
        <family val="0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</si>
  <si>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AD102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Ada Lovelace</t>
    </r>
    <r>
      <rPr>
        <sz val="9"/>
        <rFont val="Noto Sans CJK SC"/>
        <family val="0"/>
        <charset val="1"/>
      </rPr>
      <t xml:space="preserve">）</t>
    </r>
  </si>
  <si>
    <r>
      <rPr>
        <b val="true"/>
        <sz val="9"/>
        <color rgb="FFFFFFFF"/>
        <rFont val="微软雅黑"/>
        <family val="0"/>
        <charset val="1"/>
      </rPr>
      <t xml:space="preserve">CUDA </t>
    </r>
    <r>
      <rPr>
        <b val="true"/>
        <sz val="9"/>
        <color rgb="FFFFFFFF"/>
        <rFont val="Noto Sans CJK SC"/>
        <family val="0"/>
        <charset val="1"/>
      </rPr>
      <t xml:space="preserve">核心数</t>
    </r>
  </si>
  <si>
    <r>
      <rPr>
        <b val="true"/>
        <sz val="9"/>
        <color rgb="FFFFFFFF"/>
        <rFont val="微软雅黑"/>
        <family val="0"/>
        <charset val="1"/>
      </rPr>
      <t xml:space="preserve">Tensor </t>
    </r>
    <r>
      <rPr>
        <b val="true"/>
        <sz val="9"/>
        <color rgb="FFFFFFFF"/>
        <rFont val="Noto Sans CJK SC"/>
        <family val="0"/>
        <charset val="1"/>
      </rPr>
      <t xml:space="preserve">核数</t>
    </r>
  </si>
  <si>
    <r>
      <rPr>
        <b val="true"/>
        <sz val="9"/>
        <color rgb="FFFFFFFF"/>
        <rFont val="微软雅黑"/>
        <family val="0"/>
        <charset val="1"/>
      </rPr>
      <t xml:space="preserve">FP32 </t>
    </r>
    <r>
      <rPr>
        <b val="true"/>
        <sz val="9"/>
        <color rgb="FFFFFFFF"/>
        <rFont val="Noto Sans CJK SC"/>
        <family val="0"/>
        <charset val="1"/>
      </rPr>
      <t xml:space="preserve">算力 </t>
    </r>
    <r>
      <rPr>
        <b val="true"/>
        <sz val="9"/>
        <color rgb="FFFFFFFF"/>
        <rFont val="微软雅黑"/>
        <family val="0"/>
        <charset val="1"/>
      </rPr>
      <t xml:space="preserve">(TFLOPS)</t>
    </r>
  </si>
  <si>
    <r>
      <rPr>
        <b val="true"/>
        <sz val="9"/>
        <color rgb="FFFFFFFF"/>
        <rFont val="微软雅黑"/>
        <family val="0"/>
        <charset val="1"/>
      </rPr>
      <t xml:space="preserve">FP16 Tensor </t>
    </r>
    <r>
      <rPr>
        <b val="true"/>
        <sz val="9"/>
        <color rgb="FFFFFFFF"/>
        <rFont val="Noto Sans CJK SC"/>
        <family val="0"/>
        <charset val="1"/>
      </rPr>
      <t xml:space="preserve">稠密 </t>
    </r>
    <r>
      <rPr>
        <b val="true"/>
        <sz val="9"/>
        <color rgb="FFFFFFFF"/>
        <rFont val="微软雅黑"/>
        <family val="0"/>
        <charset val="1"/>
      </rPr>
      <t xml:space="preserve">(TFLOPS)</t>
    </r>
  </si>
  <si>
    <r>
      <rPr>
        <b val="true"/>
        <sz val="9"/>
        <color rgb="FFFFFFFF"/>
        <rFont val="微软雅黑"/>
        <family val="0"/>
        <charset val="1"/>
      </rPr>
      <t xml:space="preserve">FP16 Tensor </t>
    </r>
    <r>
      <rPr>
        <b val="true"/>
        <sz val="9"/>
        <color rgb="FFFFFFFF"/>
        <rFont val="Noto Sans CJK SC"/>
        <family val="0"/>
        <charset val="1"/>
      </rPr>
      <t xml:space="preserve">稀疏 </t>
    </r>
    <r>
      <rPr>
        <b val="true"/>
        <sz val="9"/>
        <color rgb="FFFFFFFF"/>
        <rFont val="微软雅黑"/>
        <family val="0"/>
        <charset val="1"/>
      </rPr>
      <t xml:space="preserve">(TFLOPS)</t>
    </r>
  </si>
  <si>
    <r>
      <rPr>
        <b val="true"/>
        <sz val="9"/>
        <color rgb="FFFFFFFF"/>
        <rFont val="微软雅黑"/>
        <family val="0"/>
        <charset val="1"/>
      </rPr>
      <t xml:space="preserve">INT8 </t>
    </r>
    <r>
      <rPr>
        <b val="true"/>
        <sz val="9"/>
        <color rgb="FFFFFFFF"/>
        <rFont val="Noto Sans CJK SC"/>
        <family val="0"/>
        <charset val="1"/>
      </rPr>
      <t xml:space="preserve">峰值 </t>
    </r>
    <r>
      <rPr>
        <b val="true"/>
        <sz val="9"/>
        <color rgb="FFFFFFFF"/>
        <rFont val="微软雅黑"/>
        <family val="0"/>
        <charset val="1"/>
      </rPr>
      <t xml:space="preserve">(TOPS)</t>
    </r>
  </si>
  <si>
    <r>
      <rPr>
        <b val="true"/>
        <sz val="9"/>
        <color rgb="FFFFFFFF"/>
        <rFont val="微软雅黑"/>
        <family val="0"/>
        <charset val="1"/>
      </rPr>
      <t xml:space="preserve">FP4 </t>
    </r>
    <r>
      <rPr>
        <b val="true"/>
        <sz val="9"/>
        <color rgb="FFFFFFFF"/>
        <rFont val="Noto Sans CJK SC"/>
        <family val="0"/>
        <charset val="1"/>
      </rPr>
      <t xml:space="preserve">稠密 </t>
    </r>
    <r>
      <rPr>
        <b val="true"/>
        <sz val="9"/>
        <color rgb="FFFFFFFF"/>
        <rFont val="微软雅黑"/>
        <family val="0"/>
        <charset val="1"/>
      </rPr>
      <t xml:space="preserve">(PFLOPS)</t>
    </r>
  </si>
  <si>
    <r>
      <rPr>
        <b val="true"/>
        <sz val="9"/>
        <color rgb="FFFFFFFF"/>
        <rFont val="微软雅黑"/>
        <family val="0"/>
        <charset val="1"/>
      </rPr>
      <t xml:space="preserve">FP4 </t>
    </r>
    <r>
      <rPr>
        <b val="true"/>
        <sz val="9"/>
        <color rgb="FFFFFFFF"/>
        <rFont val="Noto Sans CJK SC"/>
        <family val="0"/>
        <charset val="1"/>
      </rPr>
      <t xml:space="preserve">稀疏 </t>
    </r>
    <r>
      <rPr>
        <b val="true"/>
        <sz val="9"/>
        <color rgb="FFFFFFFF"/>
        <rFont val="微软雅黑"/>
        <family val="0"/>
        <charset val="1"/>
      </rPr>
      <t xml:space="preserve">(PFLOPS)</t>
    </r>
  </si>
  <si>
    <r>
      <rPr>
        <b val="true"/>
        <sz val="9"/>
        <color rgb="FFFFFFFF"/>
        <rFont val="Noto Sans CJK SC"/>
        <family val="0"/>
        <charset val="1"/>
      </rPr>
      <t xml:space="preserve">显存容量 </t>
    </r>
    <r>
      <rPr>
        <b val="true"/>
        <sz val="9"/>
        <color rgb="FFFFFFFF"/>
        <rFont val="微软雅黑"/>
        <family val="0"/>
        <charset val="1"/>
      </rPr>
      <t xml:space="preserve">(GB)</t>
    </r>
  </si>
  <si>
    <r>
      <rPr>
        <b val="true"/>
        <sz val="9"/>
        <color rgb="FFFFFFFF"/>
        <rFont val="Noto Sans CJK SC"/>
        <family val="0"/>
        <charset val="1"/>
      </rPr>
      <t xml:space="preserve">显存带宽 </t>
    </r>
    <r>
      <rPr>
        <b val="true"/>
        <sz val="9"/>
        <color rgb="FFFFFFFF"/>
        <rFont val="微软雅黑"/>
        <family val="0"/>
        <charset val="1"/>
      </rPr>
      <t xml:space="preserve">(GB/s)</t>
    </r>
  </si>
  <si>
    <t xml:space="preserve">注：本表数值由「速览对比」表文本参数解析而来（²=稀疏口径取峰值，≈=推算值），供「选型对比」表公式与图表引用，请勿手工修改。</t>
  </si>
  <si>
    <t xml:space="preserve">英伟达系列GPU对照表 — 校对与更新说明（2026-08）</t>
  </si>
  <si>
    <t xml:space="preserve">一、本次更新概要：① 新增6个近年型号列（BD~BI列）：B300 SXM、RTX PRO 6000 Blackwell、RTX PRO 6000D Blackwell、RTX PRO 5000/4500/4000 Blackwell；② 对原有54个型号数据逐项校对，修正错误/补充缺失共80余处。</t>
  </si>
  <si>
    <t xml:space="preserve">二、标记说明：算力值中 “A | B” 表示 稠密 | 稀疏 两种口径；上标 * 与 ² 表示含稀疏（sparsity）加速的峰值；带“≈”为按核心规模/频率推算的约值（官方未公布）。</t>
  </si>
  <si>
    <t xml:space="preserve">三、为保留原表53张产品图片不错位，新增型号统一追加在表右端（BD列起），未插入中间；新增列暂无产品图片。</t>
  </si>
  <si>
    <t xml:space="preserve">四、RTX PRO 6000/5000/4500/4000 按工作站版（Workstation Edition）录入；6000D为国内在售的服务器形态。RTX PRO 系列的 Tensor 算力按官方 FP32/AI TOPS 及架构倍率（FP16=4×FP32、INT8=8×FP32、FP4=16×FP32，稀疏再×2）换算，与官方公布的 AI TOPS（4000/2064/1617/1290）一致。</t>
  </si>
  <si>
    <t xml:space="preserve">五、B300 算力按 HGX/DGX B300（8卡）口径折算单卡：FP4 13.5|18 PFLOPS；GB300 NVL72 整柜口径为 15|20 PFLOPS。B300 的 FP64（约1.2 TFLOPS）与 INT8 较 B200 大幅下调，不适合传统HPC双精度场景。</t>
  </si>
  <si>
    <t xml:space="preserve">六、遗留说明：原表中 A40（M/S列）、RTX 8000（AS/AT列）、RTX 6000（AU/AV列）为重复列，内容一致，已保留未删除；B200 的“2×248.3 TFLOPS”（FP16 non-Tensor）与 PCIe 代际（原表Gen6）官方无明确数据，予以保留并在此提示；H20/L2 的核心频率官方未公布，以“-”标注。</t>
  </si>
  <si>
    <t xml:space="preserve">七、逐项校对记录</t>
  </si>
  <si>
    <t xml:space="preserve">序号</t>
  </si>
  <si>
    <t xml:space="preserve">位置</t>
  </si>
  <si>
    <t xml:space="preserve">修正前</t>
  </si>
  <si>
    <t xml:space="preserve">修正后</t>
  </si>
  <si>
    <t xml:space="preserve">类型</t>
  </si>
  <si>
    <t xml:space="preserve">依据</t>
  </si>
  <si>
    <t xml:space="preserve">G1:H1 / K1:L1</t>
  </si>
  <si>
    <t xml:space="preserve">H800 / H100</t>
  </si>
  <si>
    <r>
      <rPr>
        <sz val="9"/>
        <rFont val="微软雅黑"/>
        <family val="0"/>
        <charset val="1"/>
      </rPr>
      <t xml:space="preserve">H800</t>
    </r>
    <r>
      <rPr>
        <sz val="9"/>
        <rFont val="Noto Sans CJK SC"/>
        <family val="0"/>
        <charset val="1"/>
      </rPr>
      <t xml:space="preserve">（两列共用）、</t>
    </r>
    <r>
      <rPr>
        <sz val="9"/>
        <rFont val="微软雅黑"/>
        <family val="0"/>
        <charset val="1"/>
      </rPr>
      <t xml:space="preserve">H100</t>
    </r>
    <r>
      <rPr>
        <sz val="9"/>
        <rFont val="Noto Sans CJK SC"/>
        <family val="0"/>
        <charset val="1"/>
      </rPr>
      <t xml:space="preserve">（两列共用）</t>
    </r>
  </si>
  <si>
    <r>
      <rPr>
        <sz val="9"/>
        <rFont val="微软雅黑"/>
        <family val="0"/>
        <charset val="1"/>
      </rPr>
      <t xml:space="preserve">H800 SXM / H800 PCIe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H100 SXM / H100 PCIe</t>
    </r>
  </si>
  <si>
    <t xml:space="preserve">表头澄清</t>
  </si>
  <si>
    <t xml:space="preserve">按外形（SXM/PCIe）与功耗区分两个变体</t>
  </si>
  <si>
    <t xml:space="preserve">O1 / P1</t>
  </si>
  <si>
    <t xml:space="preserve">A800</t>
  </si>
  <si>
    <t xml:space="preserve">两列均仅标“A800”</t>
  </si>
  <si>
    <t xml:space="preserve">A800 SXM 80GB / A800 PCIe 80GB</t>
  </si>
  <si>
    <t xml:space="preserve">按外形与功耗（400W/250W）区分</t>
  </si>
  <si>
    <t xml:space="preserve">Q1 / R1</t>
  </si>
  <si>
    <t xml:space="preserve">A100</t>
  </si>
  <si>
    <t xml:space="preserve">A100 / A100 SXM4</t>
  </si>
  <si>
    <t xml:space="preserve">A100 PCIe 40GB / A100 SXM4 40GB</t>
  </si>
  <si>
    <t xml:space="preserve">按外形与显存规格区分</t>
  </si>
  <si>
    <t xml:space="preserve">B3</t>
  </si>
  <si>
    <t xml:space="preserve">B200</t>
  </si>
  <si>
    <t xml:space="preserve">“台积电5nm…96GB HBM3e…62.08TFLOPS”</t>
  </si>
  <si>
    <t xml:space="preserve">台积电4NP…192GB HBM3e…FP32 75 TFLOPS</t>
  </si>
  <si>
    <t xml:space="preserve">错误修正</t>
  </si>
  <si>
    <r>
      <rPr>
        <sz val="9"/>
        <rFont val="微软雅黑"/>
        <family val="0"/>
        <charset val="1"/>
      </rPr>
      <t xml:space="preserve">NVIDIA B200 </t>
    </r>
    <r>
      <rPr>
        <sz val="9"/>
        <rFont val="Noto Sans CJK SC"/>
        <family val="0"/>
        <charset val="1"/>
      </rPr>
      <t xml:space="preserve">官方数据</t>
    </r>
  </si>
  <si>
    <t xml:space="preserve">E3</t>
  </si>
  <si>
    <t xml:space="preserve">L20</t>
  </si>
  <si>
    <t xml:space="preserve">“台积电5nm工艺”</t>
  </si>
  <si>
    <t xml:space="preserve">台积电4N工艺</t>
  </si>
  <si>
    <r>
      <rPr>
        <sz val="9"/>
        <rFont val="微软雅黑"/>
        <family val="0"/>
        <charset val="1"/>
      </rPr>
      <t xml:space="preserve">AD102 </t>
    </r>
    <r>
      <rPr>
        <sz val="9"/>
        <rFont val="Noto Sans CJK SC"/>
        <family val="0"/>
        <charset val="1"/>
      </rPr>
      <t xml:space="preserve">为 </t>
    </r>
    <r>
      <rPr>
        <sz val="9"/>
        <rFont val="微软雅黑"/>
        <family val="0"/>
        <charset val="1"/>
      </rPr>
      <t xml:space="preserve">TSMC 4N</t>
    </r>
  </si>
  <si>
    <t xml:space="preserve">D6/E6/F6</t>
  </si>
  <si>
    <t xml:space="preserve">H20/L20/L2</t>
  </si>
  <si>
    <r>
      <rPr>
        <sz val="9"/>
        <rFont val="微软雅黑"/>
        <family val="0"/>
        <charset val="1"/>
      </rPr>
      <t xml:space="preserve">“NVIDlA…”</t>
    </r>
    <r>
      <rPr>
        <sz val="9"/>
        <rFont val="Noto Sans CJK SC"/>
        <family val="0"/>
        <charset val="1"/>
      </rPr>
      <t xml:space="preserve">拼写错误</t>
    </r>
  </si>
  <si>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Hopper</t>
    </r>
    <r>
      <rPr>
        <sz val="9"/>
        <rFont val="Noto Sans CJK SC"/>
        <family val="0"/>
        <charset val="1"/>
      </rPr>
      <t xml:space="preserve">）</t>
    </r>
    <r>
      <rPr>
        <sz val="9"/>
        <rFont val="微软雅黑"/>
        <family val="0"/>
        <charset val="1"/>
      </rPr>
      <t xml:space="preserve">/AD102/AD104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Ada Lovelace</t>
    </r>
    <r>
      <rPr>
        <sz val="9"/>
        <rFont val="Noto Sans CJK SC"/>
        <family val="0"/>
        <charset val="1"/>
      </rPr>
      <t xml:space="preserve">）</t>
    </r>
  </si>
  <si>
    <t xml:space="preserve">格式规范</t>
  </si>
  <si>
    <r>
      <rPr>
        <sz val="9"/>
        <rFont val="微软雅黑"/>
        <family val="0"/>
        <charset val="1"/>
      </rPr>
      <t xml:space="preserve">NVIDIA </t>
    </r>
    <r>
      <rPr>
        <sz val="9"/>
        <rFont val="Noto Sans CJK SC"/>
        <family val="0"/>
        <charset val="1"/>
      </rPr>
      <t xml:space="preserve">官方</t>
    </r>
    <r>
      <rPr>
        <sz val="9"/>
        <rFont val="微软雅黑"/>
        <family val="0"/>
        <charset val="1"/>
      </rPr>
      <t xml:space="preserve">/TechPowerUp/</t>
    </r>
    <r>
      <rPr>
        <sz val="9"/>
        <rFont val="Noto Sans CJK SC"/>
        <family val="0"/>
        <charset val="1"/>
      </rPr>
      <t xml:space="preserve">渠道资料</t>
    </r>
  </si>
  <si>
    <t xml:space="preserve">D7/D8</t>
  </si>
  <si>
    <t xml:space="preserve">H20</t>
  </si>
  <si>
    <t xml:space="preserve">（空）</t>
  </si>
  <si>
    <t xml:space="preserve">CUDA 9984 / Tensor 312</t>
  </si>
  <si>
    <t xml:space="preserve">数据补充</t>
  </si>
  <si>
    <r>
      <rPr>
        <sz val="9"/>
        <rFont val="微软雅黑"/>
        <family val="0"/>
        <charset val="1"/>
      </rPr>
      <t xml:space="preserve">TechPowerUp H20 </t>
    </r>
    <r>
      <rPr>
        <sz val="9"/>
        <rFont val="Noto Sans CJK SC"/>
        <family val="0"/>
        <charset val="1"/>
      </rPr>
      <t xml:space="preserve">数据库</t>
    </r>
  </si>
  <si>
    <t xml:space="preserve">AE8</t>
  </si>
  <si>
    <r>
      <rPr>
        <sz val="9"/>
        <rFont val="微软雅黑"/>
        <family val="0"/>
        <charset val="1"/>
      </rPr>
      <t xml:space="preserve">Tensor </t>
    </r>
    <r>
      <rPr>
        <sz val="9"/>
        <rFont val="Noto Sans CJK SC"/>
        <family val="0"/>
        <charset val="1"/>
      </rPr>
      <t xml:space="preserve">核数 </t>
    </r>
    <r>
      <rPr>
        <sz val="9"/>
        <rFont val="微软雅黑"/>
        <family val="0"/>
        <charset val="1"/>
      </rPr>
      <t xml:space="preserve">128</t>
    </r>
  </si>
  <si>
    <r>
      <rPr>
        <sz val="9"/>
        <rFont val="微软雅黑"/>
        <family val="0"/>
        <charset val="1"/>
      </rPr>
      <t xml:space="preserve">RTX 4090 = 128 SM × 4</t>
    </r>
    <r>
      <rPr>
        <sz val="9"/>
        <rFont val="Noto Sans CJK SC"/>
        <family val="0"/>
        <charset val="1"/>
      </rPr>
      <t xml:space="preserve">（超能网</t>
    </r>
    <r>
      <rPr>
        <sz val="9"/>
        <rFont val="微软雅黑"/>
        <family val="0"/>
        <charset val="1"/>
      </rPr>
      <t xml:space="preserve">/TechPowerUp</t>
    </r>
    <r>
      <rPr>
        <sz val="9"/>
        <rFont val="Noto Sans CJK SC"/>
        <family val="0"/>
        <charset val="1"/>
      </rPr>
      <t xml:space="preserve">）</t>
    </r>
  </si>
  <si>
    <t xml:space="preserve">AE9/AE10</t>
  </si>
  <si>
    <t xml:space="preserve">1580 / 2510 MHz</t>
  </si>
  <si>
    <t xml:space="preserve">2235 / 2520 MHz</t>
  </si>
  <si>
    <r>
      <rPr>
        <sz val="9"/>
        <rFont val="微软雅黑"/>
        <family val="0"/>
        <charset val="1"/>
      </rPr>
      <t xml:space="preserve">NVIDIA RTX 4090 </t>
    </r>
    <r>
      <rPr>
        <sz val="9"/>
        <rFont val="Noto Sans CJK SC"/>
        <family val="0"/>
        <charset val="1"/>
      </rPr>
      <t xml:space="preserve">官方频率</t>
    </r>
  </si>
  <si>
    <t xml:space="preserve">AF9</t>
  </si>
  <si>
    <r>
      <rPr>
        <sz val="9"/>
        <rFont val="微软雅黑"/>
        <family val="0"/>
        <charset val="1"/>
      </rPr>
      <t xml:space="preserve">NVIDIA RTX 3090 </t>
    </r>
    <r>
      <rPr>
        <sz val="9"/>
        <rFont val="Noto Sans CJK SC"/>
        <family val="0"/>
        <charset val="1"/>
      </rPr>
      <t xml:space="preserve">官方基础频率</t>
    </r>
  </si>
  <si>
    <t xml:space="preserve">AW9/AW10</t>
  </si>
  <si>
    <t xml:space="preserve">“1620HMz”“1815HMz”</t>
  </si>
  <si>
    <t xml:space="preserve">1620MHz / 1815MHz</t>
  </si>
  <si>
    <t xml:space="preserve">拼写错误</t>
  </si>
  <si>
    <t xml:space="preserve">AE11</t>
  </si>
  <si>
    <t xml:space="preserve">“24GbpsGDDR6X”</t>
  </si>
  <si>
    <r>
      <rPr>
        <sz val="9"/>
        <rFont val="微软雅黑"/>
        <family val="0"/>
        <charset val="1"/>
      </rPr>
      <t xml:space="preserve">RTX 4090 </t>
    </r>
    <r>
      <rPr>
        <sz val="9"/>
        <rFont val="Noto Sans CJK SC"/>
        <family val="0"/>
        <charset val="1"/>
      </rPr>
      <t xml:space="preserve">显存为 </t>
    </r>
    <r>
      <rPr>
        <sz val="9"/>
        <rFont val="微软雅黑"/>
        <family val="0"/>
        <charset val="1"/>
      </rPr>
      <t xml:space="preserve">21Gbps</t>
    </r>
    <r>
      <rPr>
        <sz val="9"/>
        <rFont val="Noto Sans CJK SC"/>
        <family val="0"/>
        <charset val="1"/>
      </rPr>
      <t xml:space="preserve">（带宽</t>
    </r>
    <r>
      <rPr>
        <sz val="9"/>
        <rFont val="微软雅黑"/>
        <family val="0"/>
        <charset val="1"/>
      </rPr>
      <t xml:space="preserve">1008GB/s</t>
    </r>
    <r>
      <rPr>
        <sz val="9"/>
        <rFont val="Noto Sans CJK SC"/>
        <family val="0"/>
        <charset val="1"/>
      </rPr>
      <t xml:space="preserve">可互相验证）</t>
    </r>
  </si>
  <si>
    <t xml:space="preserve">AH11/AH13</t>
  </si>
  <si>
    <t xml:space="preserve">16Gbps / 512 GB/s</t>
  </si>
  <si>
    <t xml:space="preserve">14Gbps / 448 GB/s</t>
  </si>
  <si>
    <r>
      <rPr>
        <sz val="9"/>
        <rFont val="微软雅黑"/>
        <family val="0"/>
        <charset val="1"/>
      </rPr>
      <t xml:space="preserve">RTX 3070 </t>
    </r>
    <r>
      <rPr>
        <sz val="9"/>
        <rFont val="Noto Sans CJK SC"/>
        <family val="0"/>
        <charset val="1"/>
      </rPr>
      <t xml:space="preserve">官方规格（原值混淆了</t>
    </r>
    <r>
      <rPr>
        <sz val="9"/>
        <rFont val="微软雅黑"/>
        <family val="0"/>
        <charset val="1"/>
      </rPr>
      <t xml:space="preserve">3070 Ti</t>
    </r>
    <r>
      <rPr>
        <sz val="9"/>
        <rFont val="Noto Sans CJK SC"/>
        <family val="0"/>
        <charset val="1"/>
      </rPr>
      <t xml:space="preserve">）</t>
    </r>
  </si>
  <si>
    <t xml:space="preserve">O12/P12</t>
  </si>
  <si>
    <t xml:space="preserve">A800 SXM/PCIe 80GB</t>
  </si>
  <si>
    <t xml:space="preserve">4096 bit</t>
  </si>
  <si>
    <r>
      <rPr>
        <sz val="9"/>
        <rFont val="微软雅黑"/>
        <family val="0"/>
        <charset val="1"/>
      </rPr>
      <t xml:space="preserve">80GB </t>
    </r>
    <r>
      <rPr>
        <sz val="9"/>
        <rFont val="Noto Sans CJK SC"/>
        <family val="0"/>
        <charset val="1"/>
      </rPr>
      <t xml:space="preserve">版为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0"/>
        <charset val="1"/>
      </rPr>
      <t xml:space="preserve">颗</t>
    </r>
    <r>
      <rPr>
        <sz val="9"/>
        <rFont val="微软雅黑"/>
        <family val="0"/>
        <charset val="1"/>
      </rPr>
      <t xml:space="preserve">HBM2e</t>
    </r>
    <r>
      <rPr>
        <sz val="9"/>
        <rFont val="Noto Sans CJK SC"/>
        <family val="0"/>
        <charset val="1"/>
      </rPr>
      <t xml:space="preserve">堆叠（带宽</t>
    </r>
    <r>
      <rPr>
        <sz val="9"/>
        <rFont val="微软雅黑"/>
        <family val="0"/>
        <charset val="1"/>
      </rPr>
      <t xml:space="preserve">2039/1935GB/s</t>
    </r>
    <r>
      <rPr>
        <sz val="9"/>
        <rFont val="Noto Sans CJK SC"/>
        <family val="0"/>
        <charset val="1"/>
      </rPr>
      <t xml:space="preserve">可验证）</t>
    </r>
  </si>
  <si>
    <t xml:space="preserve">D11/D12/D24</t>
  </si>
  <si>
    <r>
      <rPr>
        <sz val="9"/>
        <rFont val="微软雅黑"/>
        <family val="0"/>
        <charset val="1"/>
      </rPr>
      <t xml:space="preserve">HBM3 / 6144-bit / 4nm 800</t>
    </r>
    <r>
      <rPr>
        <sz val="9"/>
        <rFont val="Noto Sans CJK SC"/>
        <family val="0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</si>
  <si>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96GB=6</t>
    </r>
    <r>
      <rPr>
        <sz val="9"/>
        <rFont val="Noto Sans CJK SC"/>
        <family val="0"/>
        <charset val="1"/>
      </rPr>
      <t xml:space="preserve">颗</t>
    </r>
    <r>
      <rPr>
        <sz val="9"/>
        <rFont val="微软雅黑"/>
        <family val="0"/>
        <charset val="1"/>
      </rPr>
      <t xml:space="preserve">HBM3</t>
    </r>
  </si>
  <si>
    <t xml:space="preserve">B13</t>
  </si>
  <si>
    <t xml:space="preserve">“2*4100GB/s”</t>
  </si>
  <si>
    <r>
      <rPr>
        <sz val="9"/>
        <rFont val="微软雅黑"/>
        <family val="0"/>
        <charset val="1"/>
      </rPr>
      <t xml:space="preserve">NVIDIA B200 </t>
    </r>
    <r>
      <rPr>
        <sz val="9"/>
        <rFont val="Noto Sans CJK SC"/>
        <family val="0"/>
        <charset val="1"/>
      </rPr>
      <t xml:space="preserve">官方：</t>
    </r>
    <r>
      <rPr>
        <sz val="9"/>
        <rFont val="微软雅黑"/>
        <family val="0"/>
        <charset val="1"/>
      </rPr>
      <t xml:space="preserve">8 TB/s</t>
    </r>
  </si>
  <si>
    <t xml:space="preserve">D13/D26</t>
  </si>
  <si>
    <t xml:space="preserve">“4 TB/S”“400w”</t>
  </si>
  <si>
    <t xml:space="preserve">4 TB/s / 400W</t>
  </si>
  <si>
    <t xml:space="preserve">单位/大小写统一</t>
  </si>
  <si>
    <t xml:space="preserve">B15</t>
  </si>
  <si>
    <t xml:space="preserve">单元格内换行+“2*248.3”</t>
  </si>
  <si>
    <r>
      <rPr>
        <sz val="9"/>
        <rFont val="微软雅黑"/>
        <family val="0"/>
        <charset val="1"/>
      </rPr>
      <t xml:space="preserve">2×248.3 TFLOPS</t>
    </r>
    <r>
      <rPr>
        <sz val="9"/>
        <rFont val="Noto Sans CJK SC"/>
        <family val="0"/>
        <charset val="1"/>
      </rPr>
      <t xml:space="preserve">（官方未公布，存疑保留）</t>
    </r>
  </si>
  <si>
    <t xml:space="preserve">格式清理</t>
  </si>
  <si>
    <t xml:space="preserve">D15/D16</t>
  </si>
  <si>
    <r>
      <rPr>
        <sz val="9"/>
        <rFont val="微软雅黑"/>
        <family val="0"/>
        <charset val="1"/>
      </rPr>
      <t xml:space="preserve">FP16 non-Tensor </t>
    </r>
    <r>
      <rPr>
        <sz val="9"/>
        <rFont val="Noto Sans CJK SC"/>
        <family val="0"/>
        <charset val="1"/>
      </rPr>
      <t xml:space="preserve">误填</t>
    </r>
    <r>
      <rPr>
        <sz val="9"/>
        <rFont val="微软雅黑"/>
        <family val="0"/>
        <charset val="1"/>
      </rPr>
      <t xml:space="preserve">148</t>
    </r>
  </si>
  <si>
    <r>
      <rPr>
        <sz val="9"/>
        <rFont val="微软雅黑"/>
        <family val="0"/>
        <charset val="1"/>
      </rPr>
      <t xml:space="preserve">non-Tensor“-”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Tensor 148 TFLOPS</t>
    </r>
  </si>
  <si>
    <r>
      <rPr>
        <sz val="9"/>
        <rFont val="微软雅黑"/>
        <family val="0"/>
        <charset val="1"/>
      </rPr>
      <t xml:space="preserve">NVIDIA H20 </t>
    </r>
    <r>
      <rPr>
        <sz val="9"/>
        <rFont val="Noto Sans CJK SC"/>
        <family val="0"/>
        <charset val="1"/>
      </rPr>
      <t xml:space="preserve">官方：</t>
    </r>
    <r>
      <rPr>
        <sz val="9"/>
        <rFont val="微软雅黑"/>
        <family val="0"/>
        <charset val="1"/>
      </rPr>
      <t xml:space="preserve">FP16 Tensor 148</t>
    </r>
  </si>
  <si>
    <t xml:space="preserve">E15/E16</t>
  </si>
  <si>
    <r>
      <rPr>
        <sz val="9"/>
        <rFont val="微软雅黑"/>
        <family val="0"/>
        <charset val="1"/>
      </rPr>
      <t xml:space="preserve">19.5 TFLOPS /</t>
    </r>
    <r>
      <rPr>
        <sz val="9"/>
        <rFont val="Noto Sans CJK SC"/>
        <family val="0"/>
        <charset val="1"/>
      </rPr>
      <t xml:space="preserve">（空）</t>
    </r>
  </si>
  <si>
    <t xml:space="preserve">59.35 / 119.5 | 239 TFLOPS*</t>
  </si>
  <si>
    <r>
      <rPr>
        <sz val="9"/>
        <rFont val="微软雅黑"/>
        <family val="0"/>
        <charset val="1"/>
      </rPr>
      <t xml:space="preserve">NVIDIA L20 </t>
    </r>
    <r>
      <rPr>
        <sz val="9"/>
        <rFont val="Noto Sans CJK SC"/>
        <family val="0"/>
        <charset val="1"/>
      </rPr>
      <t xml:space="preserve">规格（财信证券整理</t>
    </r>
    <r>
      <rPr>
        <sz val="9"/>
        <rFont val="微软雅黑"/>
        <family val="0"/>
        <charset val="1"/>
      </rPr>
      <t xml:space="preserve">/TechPowerUp</t>
    </r>
    <r>
      <rPr>
        <sz val="9"/>
        <rFont val="Noto Sans CJK SC"/>
        <family val="0"/>
        <charset val="1"/>
      </rPr>
      <t xml:space="preserve">）</t>
    </r>
  </si>
  <si>
    <t xml:space="preserve">F15/F16/F18/F21/F22</t>
  </si>
  <si>
    <t xml:space="preserve">L2</t>
  </si>
  <si>
    <r>
      <rPr>
        <sz val="9"/>
        <rFont val="微软雅黑"/>
        <family val="0"/>
        <charset val="1"/>
      </rPr>
      <t xml:space="preserve">FP16 non-Tensor </t>
    </r>
    <r>
      <rPr>
        <sz val="9"/>
        <rFont val="Noto Sans CJK SC"/>
        <family val="0"/>
        <charset val="1"/>
      </rPr>
      <t xml:space="preserve">误填</t>
    </r>
    <r>
      <rPr>
        <sz val="9"/>
        <rFont val="微软雅黑"/>
        <family val="0"/>
        <charset val="1"/>
      </rPr>
      <t xml:space="preserve">193</t>
    </r>
    <r>
      <rPr>
        <sz val="9"/>
        <rFont val="Noto Sans CJK SC"/>
        <family val="0"/>
        <charset val="1"/>
      </rPr>
      <t xml:space="preserve">（实为</t>
    </r>
    <r>
      <rPr>
        <sz val="9"/>
        <rFont val="微软雅黑"/>
        <family val="0"/>
        <charset val="1"/>
      </rPr>
      <t xml:space="preserve">INT8</t>
    </r>
    <r>
      <rPr>
        <sz val="9"/>
        <rFont val="Noto Sans CJK SC"/>
        <family val="0"/>
        <charset val="1"/>
      </rPr>
      <t xml:space="preserve">稀疏值）</t>
    </r>
  </si>
  <si>
    <t xml:space="preserve">24.1 / 48.3|96.5* / 24.1|48.3* / 96.5|193* / 193|386*</t>
  </si>
  <si>
    <r>
      <rPr>
        <sz val="9"/>
        <rFont val="微软雅黑"/>
        <family val="0"/>
        <charset val="1"/>
      </rPr>
      <t xml:space="preserve">NVIDIA L2 </t>
    </r>
    <r>
      <rPr>
        <sz val="9"/>
        <rFont val="Noto Sans CJK SC"/>
        <family val="0"/>
        <charset val="1"/>
      </rPr>
      <t xml:space="preserve">规格（财信证券</t>
    </r>
    <r>
      <rPr>
        <sz val="9"/>
        <rFont val="微软雅黑"/>
        <family val="0"/>
        <charset val="1"/>
      </rPr>
      <t xml:space="preserve">2023.12</t>
    </r>
    <r>
      <rPr>
        <sz val="9"/>
        <rFont val="Noto Sans CJK SC"/>
        <family val="0"/>
        <charset val="1"/>
      </rPr>
      <t xml:space="preserve">整理）</t>
    </r>
  </si>
  <si>
    <t xml:space="preserve">B17/B19/B20</t>
  </si>
  <si>
    <t xml:space="preserve">FP32 75 / FP64 37 / FP64 Tensor 37 TFLOPS</t>
  </si>
  <si>
    <r>
      <rPr>
        <sz val="9"/>
        <rFont val="微软雅黑"/>
        <family val="0"/>
        <charset val="1"/>
      </rPr>
      <t xml:space="preserve">NVIDIA HGX B200 </t>
    </r>
    <r>
      <rPr>
        <sz val="9"/>
        <rFont val="Noto Sans CJK SC"/>
        <family val="0"/>
        <charset val="1"/>
      </rPr>
      <t xml:space="preserve">官方平台规格</t>
    </r>
  </si>
  <si>
    <t xml:space="preserve">B21/B22</t>
  </si>
  <si>
    <r>
      <rPr>
        <sz val="9"/>
        <rFont val="微软雅黑"/>
        <family val="0"/>
        <charset val="1"/>
      </rPr>
      <t xml:space="preserve">“4.5 PFLOPS²”“9 PFLOPS²”</t>
    </r>
    <r>
      <rPr>
        <sz val="9"/>
        <rFont val="Noto Sans CJK SC"/>
        <family val="0"/>
        <charset val="1"/>
      </rPr>
      <t xml:space="preserve">（稠密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0"/>
        <charset val="1"/>
      </rPr>
      <t xml:space="preserve">稀疏标注不一致）</t>
    </r>
  </si>
  <si>
    <r>
      <rPr>
        <sz val="9"/>
        <rFont val="微软雅黑"/>
        <family val="0"/>
        <charset val="1"/>
      </rPr>
      <t xml:space="preserve">INT8 4.5|9 POPS²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FP4 9|18 PFLOPS²</t>
    </r>
  </si>
  <si>
    <r>
      <rPr>
        <sz val="9"/>
        <rFont val="微软雅黑"/>
        <family val="0"/>
        <charset val="1"/>
      </rPr>
      <t xml:space="preserve">NVIDIA B200 </t>
    </r>
    <r>
      <rPr>
        <sz val="9"/>
        <rFont val="Noto Sans CJK SC"/>
        <family val="0"/>
        <charset val="1"/>
      </rPr>
      <t xml:space="preserve">官方数据（稠密</t>
    </r>
    <r>
      <rPr>
        <sz val="9"/>
        <rFont val="微软雅黑"/>
        <family val="0"/>
        <charset val="1"/>
      </rPr>
      <t xml:space="preserve">|</t>
    </r>
    <r>
      <rPr>
        <sz val="9"/>
        <rFont val="Noto Sans CJK SC"/>
        <family val="0"/>
        <charset val="1"/>
      </rPr>
      <t xml:space="preserve">稀疏）</t>
    </r>
  </si>
  <si>
    <t xml:space="preserve">E19/E20</t>
  </si>
  <si>
    <r>
      <rPr>
        <sz val="9"/>
        <rFont val="微软雅黑"/>
        <family val="0"/>
        <charset val="1"/>
      </rPr>
      <t xml:space="preserve">“0.927.4 TFLOPS”</t>
    </r>
    <r>
      <rPr>
        <sz val="9"/>
        <rFont val="Noto Sans CJK SC"/>
        <family val="0"/>
        <charset val="1"/>
      </rPr>
      <t xml:space="preserve">（乱码）</t>
    </r>
  </si>
  <si>
    <t xml:space="preserve">0.927 TFLOPS / “-”</t>
  </si>
  <si>
    <r>
      <rPr>
        <sz val="9"/>
        <rFont val="微软雅黑"/>
        <family val="0"/>
        <charset val="1"/>
      </rPr>
      <t xml:space="preserve">TechPowerUp L20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FP64=FP32/64</t>
    </r>
    <r>
      <rPr>
        <sz val="9"/>
        <rFont val="Noto Sans CJK SC"/>
        <family val="0"/>
        <charset val="1"/>
      </rPr>
      <t xml:space="preserve">）；</t>
    </r>
    <r>
      <rPr>
        <sz val="9"/>
        <rFont val="微软雅黑"/>
        <family val="0"/>
        <charset val="1"/>
      </rPr>
      <t xml:space="preserve">Ada</t>
    </r>
    <r>
      <rPr>
        <sz val="9"/>
        <rFont val="Noto Sans CJK SC"/>
        <family val="0"/>
        <charset val="1"/>
      </rPr>
      <t xml:space="preserve">无</t>
    </r>
    <r>
      <rPr>
        <sz val="9"/>
        <rFont val="微软雅黑"/>
        <family val="0"/>
        <charset val="1"/>
      </rPr>
      <t xml:space="preserve">FP64 Tensor</t>
    </r>
  </si>
  <si>
    <t xml:space="preserve">E21</t>
  </si>
  <si>
    <t xml:space="preserve">239 TFLOPS</t>
  </si>
  <si>
    <r>
      <rPr>
        <sz val="9"/>
        <rFont val="微软雅黑"/>
        <family val="0"/>
        <charset val="1"/>
      </rPr>
      <t xml:space="preserve">INT8 </t>
    </r>
    <r>
      <rPr>
        <sz val="9"/>
        <rFont val="Noto Sans CJK SC"/>
        <family val="0"/>
        <charset val="1"/>
      </rPr>
      <t xml:space="preserve">单位应为 </t>
    </r>
    <r>
      <rPr>
        <sz val="9"/>
        <rFont val="微软雅黑"/>
        <family val="0"/>
        <charset val="1"/>
      </rPr>
      <t xml:space="preserve">TOPS</t>
    </r>
  </si>
  <si>
    <t xml:space="preserve">E22</t>
  </si>
  <si>
    <t xml:space="preserve">474.8 | 949.6 TOPS*</t>
  </si>
  <si>
    <t xml:space="preserve">TechPowerUp L20 INT4</t>
  </si>
  <si>
    <t xml:space="preserve">D22</t>
  </si>
  <si>
    <r>
      <rPr>
        <sz val="9"/>
        <rFont val="微软雅黑"/>
        <family val="0"/>
        <charset val="1"/>
      </rPr>
      <t xml:space="preserve">-</t>
    </r>
    <r>
      <rPr>
        <sz val="9"/>
        <rFont val="Noto Sans CJK SC"/>
        <family val="0"/>
        <charset val="1"/>
      </rPr>
      <t xml:space="preserve">（官方未公布）</t>
    </r>
  </si>
  <si>
    <t xml:space="preserve">AE15/AE17</t>
  </si>
  <si>
    <t xml:space="preserve">89.6 / 49.8 TFLOPS</t>
  </si>
  <si>
    <t xml:space="preserve">82.6 / 82.6 TFLOPS</t>
  </si>
  <si>
    <r>
      <rPr>
        <sz val="9"/>
        <rFont val="微软雅黑"/>
        <family val="0"/>
        <charset val="1"/>
      </rPr>
      <t xml:space="preserve">RTX 4090 FP32=82.6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16384</t>
    </r>
    <r>
      <rPr>
        <sz val="9"/>
        <rFont val="Noto Sans CJK SC"/>
        <family val="0"/>
        <charset val="1"/>
      </rPr>
      <t xml:space="preserve">核</t>
    </r>
    <r>
      <rPr>
        <sz val="9"/>
        <rFont val="微软雅黑"/>
        <family val="0"/>
        <charset val="1"/>
      </rPr>
      <t xml:space="preserve">×2520MHz</t>
    </r>
    <r>
      <rPr>
        <sz val="9"/>
        <rFont val="Noto Sans CJK SC"/>
        <family val="0"/>
        <charset val="1"/>
      </rPr>
      <t xml:space="preserve">）</t>
    </r>
  </si>
  <si>
    <t xml:space="preserve">AE16/AE18/AE21</t>
  </si>
  <si>
    <t xml:space="preserve">178.9 / 89.6 / 317.2</t>
  </si>
  <si>
    <t xml:space="preserve">330.3|660.6* / 165.2|330.3* / 660.6|1321 TOPS*</t>
  </si>
  <si>
    <t xml:space="preserve">按Ada架构倍率（与L40S同口径）换算</t>
  </si>
  <si>
    <t xml:space="preserve">I16/I18</t>
  </si>
  <si>
    <r>
      <rPr>
        <sz val="9"/>
        <rFont val="微软雅黑"/>
        <family val="0"/>
        <charset val="1"/>
      </rPr>
      <t xml:space="preserve">“362.05 I 733TFLOPS”</t>
    </r>
    <r>
      <rPr>
        <sz val="9"/>
        <rFont val="Noto Sans CJK SC"/>
        <family val="0"/>
        <charset val="1"/>
      </rPr>
      <t xml:space="preserve">等分隔符错误</t>
    </r>
  </si>
  <si>
    <r>
      <rPr>
        <sz val="9"/>
        <rFont val="微软雅黑"/>
        <family val="0"/>
        <charset val="1"/>
      </rPr>
      <t xml:space="preserve">362.05 | 733 TFLOPS*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183 | 366 TFLOPS*</t>
    </r>
  </si>
  <si>
    <t xml:space="preserve">J22</t>
  </si>
  <si>
    <t xml:space="preserve">“1448”</t>
  </si>
  <si>
    <t xml:space="preserve">1,448 TOPS</t>
  </si>
  <si>
    <t xml:space="preserve">补单位</t>
  </si>
  <si>
    <t xml:space="preserve">E23/F23</t>
  </si>
  <si>
    <t xml:space="preserve">L20/L2</t>
  </si>
  <si>
    <r>
      <rPr>
        <sz val="9"/>
        <rFont val="微软雅黑"/>
        <family val="0"/>
        <charset val="1"/>
      </rPr>
      <t xml:space="preserve">“PCle”</t>
    </r>
    <r>
      <rPr>
        <sz val="9"/>
        <rFont val="Noto Sans CJK SC"/>
        <family val="0"/>
        <charset val="1"/>
      </rPr>
      <t xml:space="preserve">拼写及换行</t>
    </r>
  </si>
  <si>
    <r>
      <rPr>
        <sz val="9"/>
        <rFont val="微软雅黑"/>
        <family val="0"/>
        <charset val="1"/>
      </rPr>
      <t xml:space="preserve">PCIe Gen4 x16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64 GB/s</t>
    </r>
  </si>
  <si>
    <t xml:space="preserve">B24/E24/I24/J24</t>
  </si>
  <si>
    <t xml:space="preserve">B200/L20/L40S/L40</t>
  </si>
  <si>
    <t xml:space="preserve">“5nm”</t>
  </si>
  <si>
    <t xml:space="preserve">4NP / 4N</t>
  </si>
  <si>
    <r>
      <rPr>
        <sz val="9"/>
        <rFont val="微软雅黑"/>
        <family val="0"/>
        <charset val="1"/>
      </rPr>
      <t xml:space="preserve">Blackwell=TSMC 4NP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Ada=TSMC 4N</t>
    </r>
  </si>
  <si>
    <t xml:space="preserve">AE24/AF24/AG24/AH24/M24/S24/AQ24/AR24</t>
  </si>
  <si>
    <r>
      <rPr>
        <sz val="9"/>
        <rFont val="微软雅黑"/>
        <family val="0"/>
        <charset val="1"/>
      </rPr>
      <t xml:space="preserve">4090/3090/3080/3070/A40/RTX A6000</t>
    </r>
    <r>
      <rPr>
        <sz val="9"/>
        <rFont val="Noto Sans CJK SC"/>
        <family val="0"/>
        <charset val="1"/>
      </rPr>
      <t xml:space="preserve">等</t>
    </r>
  </si>
  <si>
    <r>
      <rPr>
        <sz val="9"/>
        <rFont val="微软雅黑"/>
        <family val="0"/>
        <charset val="1"/>
      </rPr>
      <t xml:space="preserve">“Samgsung 8nm”</t>
    </r>
    <r>
      <rPr>
        <sz val="9"/>
        <rFont val="Noto Sans CJK SC"/>
        <family val="0"/>
        <charset val="1"/>
      </rPr>
      <t xml:space="preserve">等</t>
    </r>
  </si>
  <si>
    <r>
      <rPr>
        <sz val="9"/>
        <rFont val="微软雅黑"/>
        <family val="0"/>
        <charset val="1"/>
      </rPr>
      <t xml:space="preserve">TSMC 4N 76.3B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Samsung 8N 28.3B/17.4B</t>
    </r>
  </si>
  <si>
    <t xml:space="preserve">拼写修正；GA102=28.3B、GA104=17.4B晶体管数校准</t>
  </si>
  <si>
    <t xml:space="preserve">F24</t>
  </si>
  <si>
    <r>
      <rPr>
        <sz val="9"/>
        <rFont val="微软雅黑"/>
        <family val="0"/>
        <charset val="1"/>
      </rPr>
      <t xml:space="preserve">4N 358</t>
    </r>
    <r>
      <rPr>
        <sz val="9"/>
        <rFont val="Noto Sans CJK SC"/>
        <family val="0"/>
        <charset val="1"/>
      </rPr>
      <t xml:space="preserve">亿（</t>
    </r>
    <r>
      <rPr>
        <sz val="9"/>
        <rFont val="微软雅黑"/>
        <family val="0"/>
        <charset val="1"/>
      </rPr>
      <t xml:space="preserve">AD104</t>
    </r>
    <r>
      <rPr>
        <sz val="9"/>
        <rFont val="Noto Sans CJK SC"/>
        <family val="0"/>
        <charset val="1"/>
      </rPr>
      <t xml:space="preserve">）</t>
    </r>
  </si>
  <si>
    <t xml:space="preserve">渠道资料（L2基于AD104）</t>
  </si>
  <si>
    <t xml:space="preserve">F25</t>
  </si>
  <si>
    <t xml:space="preserve">“双插槽风冷式”</t>
  </si>
  <si>
    <r>
      <rPr>
        <sz val="9"/>
        <rFont val="微软雅黑"/>
        <family val="0"/>
        <charset val="1"/>
      </rPr>
      <t xml:space="preserve">PCIe 4.0 x16 </t>
    </r>
    <r>
      <rPr>
        <sz val="9"/>
        <rFont val="Noto Sans CJK SC"/>
        <family val="0"/>
        <charset val="1"/>
      </rPr>
      <t xml:space="preserve">单槽半高（</t>
    </r>
    <r>
      <rPr>
        <sz val="9"/>
        <rFont val="微软雅黑"/>
        <family val="0"/>
        <charset val="1"/>
      </rPr>
      <t xml:space="preserve">LP</t>
    </r>
    <r>
      <rPr>
        <sz val="9"/>
        <rFont val="Noto Sans CJK SC"/>
        <family val="0"/>
        <charset val="1"/>
      </rPr>
      <t xml:space="preserve">）被动散热</t>
    </r>
  </si>
  <si>
    <r>
      <rPr>
        <sz val="9"/>
        <rFont val="微软雅黑"/>
        <family val="0"/>
        <charset val="1"/>
      </rPr>
      <t xml:space="preserve">NVIDIA L2 </t>
    </r>
    <r>
      <rPr>
        <sz val="9"/>
        <rFont val="Noto Sans CJK SC"/>
        <family val="0"/>
        <charset val="1"/>
      </rPr>
      <t xml:space="preserve">为 </t>
    </r>
    <r>
      <rPr>
        <sz val="9"/>
        <rFont val="微软雅黑"/>
        <family val="0"/>
        <charset val="1"/>
      </rPr>
      <t xml:space="preserve">1-slot LP </t>
    </r>
    <r>
      <rPr>
        <sz val="9"/>
        <rFont val="Noto Sans CJK SC"/>
        <family val="0"/>
        <charset val="1"/>
      </rPr>
      <t xml:space="preserve">形态</t>
    </r>
  </si>
  <si>
    <t xml:space="preserve">F26</t>
  </si>
  <si>
    <t xml:space="preserve">渠道资料（官方标注TBD）</t>
  </si>
  <si>
    <t xml:space="preserve">AX26</t>
  </si>
  <si>
    <t xml:space="preserve">“ 125 W”</t>
  </si>
  <si>
    <r>
      <rPr>
        <sz val="9"/>
        <rFont val="微软雅黑"/>
        <family val="0"/>
        <charset val="1"/>
      </rPr>
      <t xml:space="preserve">BD~BI</t>
    </r>
    <r>
      <rPr>
        <sz val="9"/>
        <rFont val="Noto Sans CJK SC"/>
        <family val="0"/>
        <charset val="1"/>
      </rPr>
      <t xml:space="preserve">列</t>
    </r>
  </si>
  <si>
    <t xml:space="preserve">B300 / RTX PRO 6000/6000D/5000/4500/4000 Blackwell</t>
  </si>
  <si>
    <t xml:space="preserve">（新增）</t>
  </si>
  <si>
    <t xml:space="preserve">完整新增6列参数</t>
  </si>
  <si>
    <t xml:space="preserve">新增型号</t>
  </si>
  <si>
    <r>
      <rPr>
        <sz val="9"/>
        <rFont val="微软雅黑"/>
        <family val="0"/>
        <charset val="1"/>
      </rPr>
      <t xml:space="preserve">NVIDIA</t>
    </r>
    <r>
      <rPr>
        <sz val="9"/>
        <rFont val="Noto Sans CJK SC"/>
        <family val="0"/>
        <charset val="1"/>
      </rPr>
      <t xml:space="preserve">官网规格页、</t>
    </r>
    <r>
      <rPr>
        <sz val="9"/>
        <rFont val="微软雅黑"/>
        <family val="0"/>
        <charset val="1"/>
      </rPr>
      <t xml:space="preserve">DGX B300</t>
    </r>
    <r>
      <rPr>
        <sz val="9"/>
        <rFont val="Noto Sans CJK SC"/>
        <family val="0"/>
        <charset val="1"/>
      </rPr>
      <t xml:space="preserve">官方页、</t>
    </r>
    <r>
      <rPr>
        <sz val="9"/>
        <rFont val="微软雅黑"/>
        <family val="0"/>
        <charset val="1"/>
      </rPr>
      <t xml:space="preserve">TechPowerUp</t>
    </r>
    <r>
      <rPr>
        <sz val="9"/>
        <rFont val="Noto Sans CJK SC"/>
        <family val="0"/>
        <charset val="1"/>
      </rPr>
      <t xml:space="preserve">、渠道拆解（</t>
    </r>
    <r>
      <rPr>
        <sz val="9"/>
        <rFont val="微软雅黑"/>
        <family val="0"/>
        <charset val="1"/>
      </rPr>
      <t xml:space="preserve">6000D</t>
    </r>
    <r>
      <rPr>
        <sz val="9"/>
        <rFont val="Noto Sans CJK SC"/>
        <family val="0"/>
        <charset val="1"/>
      </rPr>
      <t xml:space="preserve">）</t>
    </r>
  </si>
  <si>
    <t xml:space="preserve">八、主要数据来源</t>
  </si>
  <si>
    <t xml:space="preserve">来源</t>
  </si>
  <si>
    <t xml:space="preserve">URL</t>
  </si>
  <si>
    <r>
      <rPr>
        <sz val="9"/>
        <rFont val="微软雅黑"/>
        <family val="0"/>
        <charset val="1"/>
      </rPr>
      <t xml:space="preserve">NVIDIA RTX PRO 6000 Blackwell </t>
    </r>
    <r>
      <rPr>
        <sz val="9"/>
        <rFont val="Noto Sans CJK SC"/>
        <family val="0"/>
        <charset val="1"/>
      </rPr>
      <t xml:space="preserve">工作站版（官方）</t>
    </r>
  </si>
  <si>
    <t xml:space="preserve">https://www.nvidia.com/en-us/products/workstations/professional-desktop-gpus/rtx-pro-6000/</t>
  </si>
  <si>
    <r>
      <rPr>
        <sz val="9"/>
        <rFont val="微软雅黑"/>
        <family val="0"/>
        <charset val="1"/>
      </rPr>
      <t xml:space="preserve">NVIDIA RTX PRO 6000 Blackwell </t>
    </r>
    <r>
      <rPr>
        <sz val="9"/>
        <rFont val="Noto Sans CJK SC"/>
        <family val="0"/>
        <charset val="1"/>
      </rPr>
      <t xml:space="preserve">服务器版（官方）</t>
    </r>
  </si>
  <si>
    <t xml:space="preserve">https://www.nvidia.com/zh-tw/data-center/rtx-pro-6000-blackwell-server-edition/</t>
  </si>
  <si>
    <r>
      <rPr>
        <sz val="9"/>
        <rFont val="微软雅黑"/>
        <family val="0"/>
        <charset val="1"/>
      </rPr>
      <t xml:space="preserve">NVIDIA RTX PRO 5000 Blackwell</t>
    </r>
    <r>
      <rPr>
        <sz val="9"/>
        <rFont val="Noto Sans CJK SC"/>
        <family val="0"/>
        <charset val="1"/>
      </rPr>
      <t xml:space="preserve">（官方）</t>
    </r>
  </si>
  <si>
    <t xml:space="preserve">https://www.nvidia.com/en-us/products/workstations/professional-desktop-gpus/rtx-pro-5000/</t>
  </si>
  <si>
    <r>
      <rPr>
        <sz val="9"/>
        <rFont val="微软雅黑"/>
        <family val="0"/>
        <charset val="1"/>
      </rPr>
      <t xml:space="preserve">NVIDIA RTX PRO 4500 Blackwell </t>
    </r>
    <r>
      <rPr>
        <sz val="9"/>
        <rFont val="Noto Sans CJK SC"/>
        <family val="0"/>
        <charset val="1"/>
      </rPr>
      <t xml:space="preserve">工作站版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0"/>
        <charset val="1"/>
      </rPr>
      <t xml:space="preserve">服务器版（官方）</t>
    </r>
  </si>
  <si>
    <t xml:space="preserve">https://www.nvidia.com/en-us/products/workstations/professional-desktop-gpus/rtx-pro-4500/ ; https://www.nvidia.com/en-us/data-center/rtx-pro-4500-blackwell-server-edition/</t>
  </si>
  <si>
    <r>
      <rPr>
        <sz val="9"/>
        <rFont val="微软雅黑"/>
        <family val="0"/>
        <charset val="1"/>
      </rPr>
      <t xml:space="preserve">NVIDIA RTX PRO 4000 Blackwell</t>
    </r>
    <r>
      <rPr>
        <sz val="9"/>
        <rFont val="Noto Sans CJK SC"/>
        <family val="0"/>
        <charset val="1"/>
      </rPr>
      <t xml:space="preserve">（官方）</t>
    </r>
  </si>
  <si>
    <t xml:space="preserve">https://www.nvidia.com/en-us/products/workstations/professional-desktop-gpus/rtx-pro-4000/</t>
  </si>
  <si>
    <r>
      <rPr>
        <sz val="9"/>
        <rFont val="微软雅黑"/>
        <family val="0"/>
        <charset val="1"/>
      </rPr>
      <t xml:space="preserve">NVIDIA DGX B300</t>
    </r>
    <r>
      <rPr>
        <sz val="9"/>
        <rFont val="Noto Sans CJK SC"/>
        <family val="0"/>
        <charset val="1"/>
      </rPr>
      <t xml:space="preserve">（官方）</t>
    </r>
  </si>
  <si>
    <t xml:space="preserve">https://www.nvidia.com/en-us/data-center/dgx-b300/</t>
  </si>
  <si>
    <r>
      <rPr>
        <sz val="9"/>
        <rFont val="微软雅黑"/>
        <family val="0"/>
        <charset val="1"/>
      </rPr>
      <t xml:space="preserve">NVIDIA HGX </t>
    </r>
    <r>
      <rPr>
        <sz val="9"/>
        <rFont val="Noto Sans CJK SC"/>
        <family val="0"/>
        <charset val="1"/>
      </rPr>
      <t xml:space="preserve">平台（官方）</t>
    </r>
  </si>
  <si>
    <t xml:space="preserve">https://www.nvidia.com/en-us/data-center/hgx/</t>
  </si>
  <si>
    <r>
      <rPr>
        <sz val="9"/>
        <rFont val="微软雅黑"/>
        <family val="0"/>
        <charset val="1"/>
      </rPr>
      <t xml:space="preserve">RTX PRO 6000D </t>
    </r>
    <r>
      <rPr>
        <sz val="9"/>
        <rFont val="Noto Sans CJK SC"/>
        <family val="0"/>
        <charset val="1"/>
      </rPr>
      <t xml:space="preserve">渠道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0"/>
        <charset val="1"/>
      </rPr>
      <t xml:space="preserve">拆解资料</t>
    </r>
  </si>
  <si>
    <t xml:space="preserve">https://getdeploying.com/gpus/nvidia-rtx-pro-6000d ; https://wiki.hynx.com.cn/entries/nvidia-rtx-pro-6000-blackwell/</t>
  </si>
  <si>
    <r>
      <rPr>
        <sz val="9"/>
        <rFont val="微软雅黑"/>
        <family val="0"/>
        <charset val="1"/>
      </rPr>
      <t xml:space="preserve">TechPowerUp GPU </t>
    </r>
    <r>
      <rPr>
        <sz val="9"/>
        <rFont val="Noto Sans CJK SC"/>
        <family val="0"/>
        <charset val="1"/>
      </rPr>
      <t xml:space="preserve">数据库（</t>
    </r>
    <r>
      <rPr>
        <sz val="9"/>
        <rFont val="微软雅黑"/>
        <family val="0"/>
        <charset val="1"/>
      </rPr>
      <t xml:space="preserve">H20/L20 </t>
    </r>
    <r>
      <rPr>
        <sz val="9"/>
        <rFont val="Noto Sans CJK SC"/>
        <family val="0"/>
        <charset val="1"/>
      </rPr>
      <t xml:space="preserve">等）</t>
    </r>
  </si>
  <si>
    <t xml:space="preserve">https://www.techpowerup.com/gpu-specs/h20.c4420 ; https://www.techpowerup.com/gpu-specs/l20.c4206</t>
  </si>
  <si>
    <t xml:space="preserve">财信证券：NVIDIA H20/L20/L2 芯片参数规格（2023.12）</t>
  </si>
  <si>
    <t xml:space="preserve">https://www.hangyan.co/charts/3271066647166714939</t>
  </si>
  <si>
    <t xml:space="preserve">超能网：RTX 4090/4090D 规格</t>
  </si>
  <si>
    <t xml:space="preserve">https://www.expreview.com/91814.html</t>
  </si>
  <si>
    <r>
      <rPr>
        <sz val="9"/>
        <rFont val="微软雅黑"/>
        <family val="0"/>
        <charset val="1"/>
      </rPr>
      <t xml:space="preserve">Glenn Klockwood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NVIDIA B300 </t>
    </r>
    <r>
      <rPr>
        <sz val="9"/>
        <rFont val="Noto Sans CJK SC"/>
        <family val="0"/>
        <charset val="1"/>
      </rPr>
      <t xml:space="preserve">架构笔记</t>
    </r>
  </si>
  <si>
    <t xml:space="preserve">https://www.glennklockwood.com/garden/processors/b300</t>
  </si>
  <si>
    <r>
      <rPr>
        <sz val="9"/>
        <rFont val="微软雅黑"/>
        <family val="0"/>
        <charset val="1"/>
      </rPr>
      <t xml:space="preserve">Exxact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NVIDIA RTX PRO Blackwell </t>
    </r>
    <r>
      <rPr>
        <sz val="9"/>
        <rFont val="Noto Sans CJK SC"/>
        <family val="0"/>
        <charset val="1"/>
      </rPr>
      <t xml:space="preserve">系列规格</t>
    </r>
  </si>
  <si>
    <t xml:space="preserve">https://www.exxactcorp.com/blog/components/nvidia-rtx-pro-blackwell-gpus</t>
  </si>
  <si>
    <r>
      <rPr>
        <b val="true"/>
        <sz val="10"/>
        <rFont val="Noto Sans CJK SC"/>
        <family val="0"/>
        <charset val="1"/>
      </rPr>
      <t xml:space="preserve">九、</t>
    </r>
    <r>
      <rPr>
        <b val="true"/>
        <sz val="10"/>
        <rFont val="微软雅黑"/>
        <family val="0"/>
        <charset val="1"/>
      </rPr>
      <t xml:space="preserve">2026</t>
    </r>
    <r>
      <rPr>
        <b val="true"/>
        <sz val="10"/>
        <rFont val="Noto Sans CJK SC"/>
        <family val="0"/>
        <charset val="1"/>
      </rPr>
      <t xml:space="preserve">年</t>
    </r>
    <r>
      <rPr>
        <b val="true"/>
        <sz val="10"/>
        <rFont val="微软雅黑"/>
        <family val="0"/>
        <charset val="1"/>
      </rPr>
      <t xml:space="preserve">8</t>
    </r>
    <r>
      <rPr>
        <b val="true"/>
        <sz val="10"/>
        <rFont val="Noto Sans CJK SC"/>
        <family val="0"/>
        <charset val="1"/>
      </rPr>
      <t xml:space="preserve">月第二次更新：架构排序、新增型号与选型对比工具</t>
    </r>
  </si>
  <si>
    <r>
      <rPr>
        <sz val="9"/>
        <rFont val="微软雅黑"/>
        <family val="0"/>
        <charset val="1"/>
      </rPr>
      <t xml:space="preserve">1. </t>
    </r>
    <r>
      <rPr>
        <sz val="9"/>
        <rFont val="Noto Sans CJK SC"/>
        <family val="0"/>
        <charset val="1"/>
      </rPr>
      <t xml:space="preserve">新增 </t>
    </r>
    <r>
      <rPr>
        <sz val="9"/>
        <rFont val="微软雅黑"/>
        <family val="0"/>
        <charset val="1"/>
      </rPr>
      <t xml:space="preserve">3 </t>
    </r>
    <r>
      <rPr>
        <sz val="9"/>
        <rFont val="Noto Sans CJK SC"/>
        <family val="0"/>
        <charset val="1"/>
      </rPr>
      <t xml:space="preserve">款型号：</t>
    </r>
    <r>
      <rPr>
        <sz val="9"/>
        <rFont val="微软雅黑"/>
        <family val="0"/>
        <charset val="1"/>
      </rPr>
      <t xml:space="preserve">GB300 NVL72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Blackwell Ultra </t>
    </r>
    <r>
      <rPr>
        <sz val="9"/>
        <rFont val="Noto Sans CJK SC"/>
        <family val="0"/>
        <charset val="1"/>
      </rPr>
      <t xml:space="preserve">机柜方案，折算单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0"/>
        <charset val="1"/>
      </rPr>
      <t xml:space="preserve">口径）、</t>
    </r>
    <r>
      <rPr>
        <sz val="9"/>
        <rFont val="微软雅黑"/>
        <family val="0"/>
        <charset val="1"/>
      </rPr>
      <t xml:space="preserve">RTX 5090</t>
    </r>
    <r>
      <rPr>
        <sz val="9"/>
        <rFont val="Noto Sans CJK SC"/>
        <family val="0"/>
        <charset val="1"/>
      </rPr>
      <t xml:space="preserve">、</t>
    </r>
    <r>
      <rPr>
        <sz val="9"/>
        <rFont val="微软雅黑"/>
        <family val="0"/>
        <charset val="1"/>
      </rPr>
      <t xml:space="preserve">RTX 5090D</t>
    </r>
    <r>
      <rPr>
        <sz val="9"/>
        <rFont val="Noto Sans CJK SC"/>
        <family val="0"/>
        <charset val="1"/>
      </rPr>
      <t xml:space="preserve">（中国特供版）。</t>
    </r>
  </si>
  <si>
    <r>
      <rPr>
        <sz val="9"/>
        <rFont val="微软雅黑"/>
        <family val="0"/>
        <charset val="1"/>
      </rPr>
      <t xml:space="preserve">2. </t>
    </r>
    <r>
      <rPr>
        <sz val="9"/>
        <rFont val="Noto Sans CJK SC"/>
        <family val="0"/>
        <charset val="1"/>
      </rPr>
      <t xml:space="preserve">「参数对比」表全部 </t>
    </r>
    <r>
      <rPr>
        <sz val="9"/>
        <rFont val="微软雅黑"/>
        <family val="0"/>
        <charset val="1"/>
      </rPr>
      <t xml:space="preserve">63 </t>
    </r>
    <r>
      <rPr>
        <sz val="9"/>
        <rFont val="Noto Sans CJK SC"/>
        <family val="0"/>
        <charset val="1"/>
      </rPr>
      <t xml:space="preserve">款型号按架构代际从新到旧重排：</t>
    </r>
    <r>
      <rPr>
        <sz val="9"/>
        <rFont val="微软雅黑"/>
        <family val="0"/>
        <charset val="1"/>
      </rPr>
      <t xml:space="preserve">Blackwell Ultra → Blackwell → Hopper → Ada Lovelace → Ampere → Turing → Volta → Pascal → Kepler</t>
    </r>
    <r>
      <rPr>
        <sz val="9"/>
        <rFont val="Noto Sans CJK SC"/>
        <family val="0"/>
        <charset val="1"/>
      </rPr>
      <t xml:space="preserve">；同代内按 数据中心 → 专业工作站 → 消费级 及定位排序。原 </t>
    </r>
    <r>
      <rPr>
        <sz val="9"/>
        <rFont val="微软雅黑"/>
        <family val="0"/>
        <charset val="1"/>
      </rPr>
      <t xml:space="preserve">53 </t>
    </r>
    <r>
      <rPr>
        <sz val="9"/>
        <rFont val="Noto Sans CJK SC"/>
        <family val="0"/>
        <charset val="1"/>
      </rPr>
      <t xml:space="preserve">张产品图片已随列移动。</t>
    </r>
  </si>
  <si>
    <r>
      <rPr>
        <sz val="9"/>
        <rFont val="微软雅黑"/>
        <family val="0"/>
        <charset val="1"/>
      </rPr>
      <t xml:space="preserve">3. H800 / H100 </t>
    </r>
    <r>
      <rPr>
        <sz val="9"/>
        <rFont val="Noto Sans CJK SC"/>
        <family val="0"/>
        <charset val="1"/>
      </rPr>
      <t xml:space="preserve">的 </t>
    </r>
    <r>
      <rPr>
        <sz val="9"/>
        <rFont val="微软雅黑"/>
        <family val="0"/>
        <charset val="1"/>
      </rPr>
      <t xml:space="preserve">SXM </t>
    </r>
    <r>
      <rPr>
        <sz val="9"/>
        <rFont val="Noto Sans CJK SC"/>
        <family val="0"/>
        <charset val="1"/>
      </rPr>
      <t xml:space="preserve">与 </t>
    </r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0"/>
        <charset val="1"/>
      </rPr>
      <t xml:space="preserve">两个变体拆分为独立表头（原为合并表头），参数不变。</t>
    </r>
  </si>
  <si>
    <r>
      <rPr>
        <sz val="9"/>
        <rFont val="微软雅黑"/>
        <family val="0"/>
        <charset val="1"/>
      </rPr>
      <t xml:space="preserve">4. </t>
    </r>
    <r>
      <rPr>
        <sz val="9"/>
        <rFont val="Noto Sans CJK SC"/>
        <family val="0"/>
        <charset val="1"/>
      </rPr>
      <t xml:space="preserve">新增「选型对比」表：第 </t>
    </r>
    <r>
      <rPr>
        <sz val="9"/>
        <rFont val="微软雅黑"/>
        <family val="0"/>
        <charset val="1"/>
      </rPr>
      <t xml:space="preserve">6 </t>
    </r>
    <r>
      <rPr>
        <sz val="9"/>
        <rFont val="Noto Sans CJK SC"/>
        <family val="0"/>
        <charset val="1"/>
      </rPr>
      <t xml:space="preserve">行下拉选择 </t>
    </r>
    <r>
      <rPr>
        <sz val="9"/>
        <rFont val="微软雅黑"/>
        <family val="0"/>
        <charset val="1"/>
      </rPr>
      <t xml:space="preserve">3~6 </t>
    </r>
    <r>
      <rPr>
        <sz val="9"/>
        <rFont val="Noto Sans CJK SC"/>
        <family val="0"/>
        <charset val="1"/>
      </rPr>
      <t xml:space="preserve">款型号，参数明细、数值指标与 </t>
    </r>
    <r>
      <rPr>
        <sz val="9"/>
        <rFont val="微软雅黑"/>
        <family val="0"/>
        <charset val="1"/>
      </rPr>
      <t xml:space="preserve">4 </t>
    </r>
    <r>
      <rPr>
        <sz val="9"/>
        <rFont val="Noto Sans CJK SC"/>
        <family val="0"/>
        <charset val="1"/>
      </rPr>
      <t xml:space="preserve">张柱状图自动更新；新增「数值数据」表为图表提供数值来源（由参数文本解析，请勿手改）。</t>
    </r>
  </si>
  <si>
    <r>
      <rPr>
        <sz val="9"/>
        <rFont val="微软雅黑"/>
        <family val="0"/>
        <charset val="1"/>
      </rPr>
      <t xml:space="preserve">5. RTX 5090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21760 CUDA / 680 Tensor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32GB GDDR7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512-bit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1,792 GB/s</t>
    </r>
    <r>
      <rPr>
        <sz val="9"/>
        <rFont val="Noto Sans CJK SC"/>
        <family val="0"/>
        <charset val="1"/>
      </rPr>
      <t xml:space="preserve">），</t>
    </r>
    <r>
      <rPr>
        <sz val="9"/>
        <rFont val="微软雅黑"/>
        <family val="0"/>
        <charset val="1"/>
      </rPr>
      <t xml:space="preserve">FP32 104.8 TFLOPS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FP4 1.68|3.35 PFLOPS²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3,352 AI TOPS</t>
    </r>
    <r>
      <rPr>
        <sz val="9"/>
        <rFont val="Noto Sans CJK SC"/>
        <family val="0"/>
        <charset val="1"/>
      </rPr>
      <t xml:space="preserve">），</t>
    </r>
    <r>
      <rPr>
        <sz val="9"/>
        <rFont val="微软雅黑"/>
        <family val="0"/>
        <charset val="1"/>
      </rPr>
      <t xml:space="preserve">575W</t>
    </r>
    <r>
      <rPr>
        <sz val="9"/>
        <rFont val="Noto Sans CJK SC"/>
        <family val="0"/>
        <charset val="1"/>
      </rPr>
      <t xml:space="preserve">。</t>
    </r>
    <r>
      <rPr>
        <sz val="9"/>
        <rFont val="微软雅黑"/>
        <family val="0"/>
        <charset val="1"/>
      </rPr>
      <t xml:space="preserve">RTX 5090D </t>
    </r>
    <r>
      <rPr>
        <sz val="9"/>
        <rFont val="Noto Sans CJK SC"/>
        <family val="0"/>
        <charset val="1"/>
      </rPr>
      <t xml:space="preserve">硬件一致，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0"/>
        <charset val="1"/>
      </rPr>
      <t xml:space="preserve">算力限制为 </t>
    </r>
    <r>
      <rPr>
        <sz val="9"/>
        <rFont val="微软雅黑"/>
        <family val="0"/>
        <charset val="1"/>
      </rPr>
      <t xml:space="preserve">2,375 AI TOPS</t>
    </r>
    <r>
      <rPr>
        <sz val="9"/>
        <rFont val="Noto Sans CJK SC"/>
        <family val="0"/>
        <charset val="1"/>
      </rPr>
      <t xml:space="preserve">（约 </t>
    </r>
    <r>
      <rPr>
        <sz val="9"/>
        <rFont val="微软雅黑"/>
        <family val="0"/>
        <charset val="1"/>
      </rPr>
      <t xml:space="preserve">71%</t>
    </r>
    <r>
      <rPr>
        <sz val="9"/>
        <rFont val="Noto Sans CJK SC"/>
        <family val="0"/>
        <charset val="1"/>
      </rPr>
      <t xml:space="preserve">），</t>
    </r>
    <r>
      <rPr>
        <sz val="9"/>
        <rFont val="微软雅黑"/>
        <family val="0"/>
        <charset val="1"/>
      </rPr>
      <t xml:space="preserve">Tensor </t>
    </r>
    <r>
      <rPr>
        <sz val="9"/>
        <rFont val="Noto Sans CJK SC"/>
        <family val="0"/>
        <charset val="1"/>
      </rPr>
      <t xml:space="preserve">各行按此比例标 ≈；</t>
    </r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0"/>
        <charset val="1"/>
      </rPr>
      <t xml:space="preserve">年</t>
    </r>
    <r>
      <rPr>
        <sz val="9"/>
        <rFont val="微软雅黑"/>
        <family val="0"/>
        <charset val="1"/>
      </rPr>
      <t xml:space="preserve">8</t>
    </r>
    <r>
      <rPr>
        <sz val="9"/>
        <rFont val="Noto Sans CJK SC"/>
        <family val="0"/>
        <charset val="1"/>
      </rPr>
      <t xml:space="preserve">月起国内市场另有 </t>
    </r>
    <r>
      <rPr>
        <sz val="9"/>
        <rFont val="微软雅黑"/>
        <family val="0"/>
        <charset val="1"/>
      </rPr>
      <t xml:space="preserve">RTX 5090D V2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24GB GDDR7 / 384-bit</t>
    </r>
    <r>
      <rPr>
        <sz val="9"/>
        <rFont val="Noto Sans CJK SC"/>
        <family val="0"/>
        <charset val="1"/>
      </rPr>
      <t xml:space="preserve">，本表未单列）。</t>
    </r>
  </si>
  <si>
    <r>
      <rPr>
        <sz val="9"/>
        <rFont val="微软雅黑"/>
        <family val="0"/>
        <charset val="1"/>
      </rPr>
      <t xml:space="preserve">6. GB300 NVL72 </t>
    </r>
    <r>
      <rPr>
        <sz val="9"/>
        <rFont val="Noto Sans CJK SC"/>
        <family val="0"/>
        <charset val="1"/>
      </rPr>
      <t xml:space="preserve">列为整柜方案折算单 </t>
    </r>
    <r>
      <rPr>
        <sz val="9"/>
        <rFont val="微软雅黑"/>
        <family val="0"/>
        <charset val="1"/>
      </rPr>
      <t xml:space="preserve">GPU </t>
    </r>
    <r>
      <rPr>
        <sz val="9"/>
        <rFont val="Noto Sans CJK SC"/>
        <family val="0"/>
        <charset val="1"/>
      </rPr>
      <t xml:space="preserve">口径（</t>
    </r>
    <r>
      <rPr>
        <sz val="9"/>
        <rFont val="微软雅黑"/>
        <family val="0"/>
        <charset val="1"/>
      </rPr>
      <t xml:space="preserve">NVL72 </t>
    </r>
    <r>
      <rPr>
        <sz val="9"/>
        <rFont val="Noto Sans CJK SC"/>
        <family val="0"/>
        <charset val="1"/>
      </rPr>
      <t xml:space="preserve">高功耗 </t>
    </r>
    <r>
      <rPr>
        <sz val="9"/>
        <rFont val="微软雅黑"/>
        <family val="0"/>
        <charset val="1"/>
      </rPr>
      <t xml:space="preserve">bin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FP4 ≈15|20 PFLOPS²</t>
    </r>
    <r>
      <rPr>
        <sz val="9"/>
        <rFont val="Noto Sans CJK SC"/>
        <family val="0"/>
        <charset val="1"/>
      </rPr>
      <t xml:space="preserve">、</t>
    </r>
    <r>
      <rPr>
        <sz val="9"/>
        <rFont val="微软雅黑"/>
        <family val="0"/>
        <charset val="1"/>
      </rPr>
      <t xml:space="preserve">FP8 ≈5|10 PFLOPS²</t>
    </r>
    <r>
      <rPr>
        <sz val="9"/>
        <rFont val="Noto Sans CJK SC"/>
        <family val="0"/>
        <charset val="1"/>
      </rPr>
      <t xml:space="preserve">）；整柜规格：</t>
    </r>
    <r>
      <rPr>
        <sz val="9"/>
        <rFont val="微软雅黑"/>
        <family val="0"/>
        <charset val="1"/>
      </rPr>
      <t xml:space="preserve">72×B300 GPU + 36×Grace CPU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FP4 </t>
    </r>
    <r>
      <rPr>
        <sz val="9"/>
        <rFont val="Noto Sans CJK SC"/>
        <family val="0"/>
        <charset val="1"/>
      </rPr>
      <t xml:space="preserve">稠密 ≈</t>
    </r>
    <r>
      <rPr>
        <sz val="9"/>
        <rFont val="微软雅黑"/>
        <family val="0"/>
        <charset val="1"/>
      </rPr>
      <t xml:space="preserve">1.1 EFLOPS</t>
    </r>
    <r>
      <rPr>
        <sz val="9"/>
        <rFont val="Noto Sans CJK SC"/>
        <family val="0"/>
        <charset val="1"/>
      </rPr>
      <t xml:space="preserve">，显存 ≈</t>
    </r>
    <r>
      <rPr>
        <sz val="9"/>
        <rFont val="微软雅黑"/>
        <family val="0"/>
        <charset val="1"/>
      </rPr>
      <t xml:space="preserve">20TB HBM3e + 17TB LPDDR5X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NVLink 130 TB/s</t>
    </r>
    <r>
      <rPr>
        <sz val="9"/>
        <rFont val="Noto Sans CJK SC"/>
        <family val="0"/>
        <charset val="1"/>
      </rPr>
      <t xml:space="preserve">，整柜功耗 ≈</t>
    </r>
    <r>
      <rPr>
        <sz val="9"/>
        <rFont val="微软雅黑"/>
        <family val="0"/>
        <charset val="1"/>
      </rPr>
      <t xml:space="preserve">132~140kW</t>
    </r>
    <r>
      <rPr>
        <sz val="9"/>
        <rFont val="Noto Sans CJK SC"/>
        <family val="0"/>
        <charset val="1"/>
      </rPr>
      <t xml:space="preserve">。</t>
    </r>
  </si>
  <si>
    <r>
      <rPr>
        <sz val="9"/>
        <rFont val="微软雅黑"/>
        <family val="0"/>
        <charset val="1"/>
      </rPr>
      <t xml:space="preserve">7. </t>
    </r>
    <r>
      <rPr>
        <sz val="9"/>
        <rFont val="Noto Sans CJK SC"/>
        <family val="0"/>
        <charset val="1"/>
      </rPr>
      <t xml:space="preserve">提示：第七节「逐项校对记录」中的单元格位置基于重排前的列序（</t>
    </r>
    <r>
      <rPr>
        <sz val="9"/>
        <rFont val="微软雅黑"/>
        <family val="0"/>
        <charset val="1"/>
      </rPr>
      <t xml:space="preserve">2024</t>
    </r>
    <r>
      <rPr>
        <sz val="9"/>
        <rFont val="Noto Sans CJK SC"/>
        <family val="0"/>
        <charset val="1"/>
      </rPr>
      <t xml:space="preserve">原版列序）。</t>
    </r>
  </si>
  <si>
    <r>
      <rPr>
        <sz val="9"/>
        <rFont val="Noto Sans CJK SC"/>
        <family val="0"/>
        <charset val="1"/>
      </rPr>
      <t xml:space="preserve">追加来源：</t>
    </r>
    <r>
      <rPr>
        <sz val="9"/>
        <rFont val="微软雅黑"/>
        <family val="0"/>
        <charset val="1"/>
      </rPr>
      <t xml:space="preserve">NVIDIA GeForce RTX 5090 </t>
    </r>
    <r>
      <rPr>
        <sz val="9"/>
        <rFont val="Noto Sans CJK SC"/>
        <family val="0"/>
        <charset val="1"/>
      </rPr>
      <t xml:space="preserve">官网规格页（</t>
    </r>
    <r>
      <rPr>
        <sz val="9"/>
        <rFont val="微软雅黑"/>
        <family val="0"/>
        <charset val="1"/>
      </rPr>
      <t xml:space="preserve">nvidia.com/zh-tw/geforce/graphics-cards/50-series/rtx-5090</t>
    </r>
    <r>
      <rPr>
        <sz val="9"/>
        <rFont val="Noto Sans CJK SC"/>
        <family val="0"/>
        <charset val="1"/>
      </rPr>
      <t xml:space="preserve">）；</t>
    </r>
    <r>
      <rPr>
        <sz val="9"/>
        <rFont val="微软雅黑"/>
        <family val="0"/>
        <charset val="1"/>
      </rPr>
      <t xml:space="preserve">NVIDIA DGX B300 / GB300 NVL72 </t>
    </r>
    <r>
      <rPr>
        <sz val="9"/>
        <rFont val="Noto Sans CJK SC"/>
        <family val="0"/>
        <charset val="1"/>
      </rPr>
      <t xml:space="preserve">官方资料；</t>
    </r>
    <r>
      <rPr>
        <sz val="9"/>
        <rFont val="微软雅黑"/>
        <family val="0"/>
        <charset val="1"/>
      </rPr>
      <t xml:space="preserve">TechPowerUp RTX 5090/5090D </t>
    </r>
    <r>
      <rPr>
        <sz val="9"/>
        <rFont val="Noto Sans CJK SC"/>
        <family val="0"/>
        <charset val="1"/>
      </rPr>
      <t xml:space="preserve">数据库；</t>
    </r>
    <r>
      <rPr>
        <sz val="9"/>
        <rFont val="微软雅黑"/>
        <family val="0"/>
        <charset val="1"/>
      </rPr>
      <t xml:space="preserve">Spheron/VRLA/Pantheon </t>
    </r>
    <r>
      <rPr>
        <sz val="9"/>
        <rFont val="Noto Sans CJK SC"/>
        <family val="0"/>
        <charset val="1"/>
      </rPr>
      <t xml:space="preserve">等 </t>
    </r>
    <r>
      <rPr>
        <sz val="9"/>
        <rFont val="微软雅黑"/>
        <family val="0"/>
        <charset val="1"/>
      </rPr>
      <t xml:space="preserve">Blackwell Ultra </t>
    </r>
    <r>
      <rPr>
        <sz val="9"/>
        <rFont val="Noto Sans CJK SC"/>
        <family val="0"/>
        <charset val="1"/>
      </rPr>
      <t xml:space="preserve">参数整理（</t>
    </r>
    <r>
      <rPr>
        <sz val="9"/>
        <rFont val="微软雅黑"/>
        <family val="0"/>
        <charset val="1"/>
      </rPr>
      <t xml:space="preserve">2026</t>
    </r>
    <r>
      <rPr>
        <sz val="9"/>
        <rFont val="Noto Sans CJK SC"/>
        <family val="0"/>
        <charset val="1"/>
      </rPr>
      <t xml:space="preserve">年检索）。</t>
    </r>
  </si>
  <si>
    <t xml:space="preserve">十、2026年8月第三次更新（H20 96GB 校验 / 新增 H200 PCIe）</t>
  </si>
  <si>
    <t xml:space="preserve">1. 新增「H200 PCIe（NVL）」列：141GB HBM3e、4.8TB/s 与 SXM 版一致；算力较 SXM 低约 15%：FP16 835|1,671 TFLOPS²、FP8/INT8 1,671|3,341²、TF32 418|835²、FP32 60、FP64 30|60；600W 可配置，PCIe 5.0 双槽风冷，2/4 卡 NVLink 桥 900GB/s。</t>
  </si>
  <si>
    <t xml:space="preserve">2. H20 SXM 更名「H20 SXM 96GB」，并补全稀疏口径：FP16 148|296 TFLOPS²、TF32 74|148 TFLOPS²、INT8 296|592 TOPS²（原仅列稠密值，且 INT8 单位由 TFLOPS 更正为 TOPS）。</t>
  </si>
  <si>
    <t xml:space="preserve">3. H200 SXM 校正：显存位宽 5120-bit → 6144-bit（141GB 为 6 堆栈 HBM3e）；FP16/TF32/INT8 补全稠密|稀疏双值：989|1,979 TFLOPS²、494|989 TFLOPS²、1,979|3,958 TOPS²。</t>
  </si>
  <si>
    <t xml:space="preserve">4. 校验来源：NVIDIA H200 官方产品页（SXM / NVL 双规格表，nvidia.com/en-us/data-center/h200）；H20 96GB（Hopper GH100，78 SM / 9,984 CUDA，96GB HBM3 / 4.0TB/s，NVLink 900GB/s，400W）经多源交叉核对一致。</t>
  </si>
  <si>
    <t xml:space="preserve">十一、2026年8月第四次更新（8个算力行全量补全 / 架构信息完善）</t>
  </si>
  <si>
    <t xml:space="preserve">1. 「参数对比」表第15~22行（FP16/FP16 Tensor/FP32/TF32 Tensor/FP64/FP64 Tensor/INT8/INT4）按 64 款型号全量补全：此前 Turing/Volta 全系的 Tensor 算力、Pascal 的 FP16/INT8、以及 Hopper/Ada 多款的 FP16 非Tensor、FP8 峰值均为空缺或旧值，本次逐项补齐。</t>
  </si>
  <si>
    <t xml:space="preserve">2. 重大校正：① H100/H800 系列 FP16/TF32/INT8 由单峰值改为 稠密|稀疏 双值（SXM：989|1,979 TFLOPS²、494|989 TFLOPS²、1,979|3,958 TOPS²；PCIe：756|1,513、378|756、1,513|3,026）；② H800 SXM/PCIe 的 FP64 由错误的 1/0.8 TFLOPS 更正为 34/26 TFLOPS（FP64 Tensor 67/51）；③ B200/B300 的 FP16/TF32/INT8 改为官方 HGX 口径（B200：2,250|4,500 TFLOPS²、INT8 4,500|9,000 TOPS²）；④ B300/GB300 的 FP64 按 NVIDIA HGX 官方页更正为 ≈1.25/≈1.4 TFLOPS（Blackwell Ultra 大幅削减 FP64），INT8 更正为 ≈187|≈375 TOPS²；⑤ A100 PCIe 40GB 算力由"九折推算值"恢复为官方值（FP32 19.5、FP16 312|624、INT8 624|1,248）；⑥ RTX 3090/3080/3070 的 FP16/TF32 Tensor 更正为 142.4|284.7、119.1|238.2、81.3|162.6 TFLOPS²（原仅填一半）；⑦ L20 第22行由错误的 INT4 口径改为 FP8：239|478 TFLOPS²；L40S/L40 INT8 由文本占位改为 733|1,466 / 362|724 TOPS²。</t>
  </si>
  <si>
    <t xml:space="preserve">3. Turing 全系补 Tensor 算力（每 Tensor 核 FP16=64 FMA/clk 官方口径）：T4 65、RTX 8000/6000 130.5（被动散热版 ≈119）、RTX 5000 89.2、RTX 4000 57、Titan RTX 130.5、2080 Ti 113.8（FE）、2080S 89.2、2080 84.8、2070 59.7 TFLOPS；INT8=2×FP16、INT4=4×FP16（如 T4 130/260 TOPS、RTX 4000 114/228 TOPS，原表 RTX 4000 误填 28.5/57）。</t>
  </si>
  <si>
    <t xml:space="preserve">4. Volta 全系补 FP16 Tensor：V100S 130、V100 SXM2 125、V100 PCIe 112、Titan V 110、GV100 118.5 TFLOPS；INT8 按 DP4A 指令推算（≈4×FP32）。</t>
  </si>
  <si>
    <t xml:space="preserve">5. Pascal 补 FP16 非Tensor（GP102/GP104 为 1/64 FP32 速率：P40 0.18、P4 0.09、P6000 0.19、P5000 0.14、P4000 0.08 TFLOPS）与 INT8（sm_61 DP4A ≈4×FP32）；GP100/P100 无 DP4A，INT8 保持"-"；K80（Kepler）无 FP16/INT8 硬件支持。</t>
  </si>
  <si>
    <t xml:space="preserve">6. 架构信息完善：RTX 4000 由 TU106 更正为 TU104（与官方规格一致）；L2 由 AD104 更正为 AD106（按 4,608 CUDA 核心推定）；A30 补 GA100、A10 补 GA102；H200 SXM 由 GH200 更正为 GH100（GH200 为 Grace+Hopper 超级芯片）；B200 标注 GB100 双芯粒。</t>
  </si>
  <si>
    <t xml:space="preserve">7. FP16 非Tensor 口径：Hopper/A100/A30 ≈4×FP32（如 H100 SXM 267.6）；Turing/Volta/GP100 ≈2×FP32；Ada/Blackwell 工作站与消费卡 ≈1×FP32；GA102/GA104 ≈1×FP32；Blackwell 数据中心卡（B200/B300/GB300）官方未公布，按 2×FP32 估算并标≈。</t>
  </si>
  <si>
    <t xml:space="preserve">8. 「数值数据」表同步重算：FP16 稠密/稀疏、INT8 峰值 64 列全部对齐上述口径（H100 SXM INT8 峰值 4,000→3,958；H100 PCIe 3,200→3,026；B300 307→375；A100 PCIe 561→1,248 等）；Turing/Volta 稀疏列留空（硬件不支持稀疏加速）。</t>
  </si>
  <si>
    <t xml:space="preserve">9. 校验来源：NVIDIA HGX 官方规格页（B200/B300 8卡系统值÷8，nvidia.com/en-us/data-center/hgx）；NVIDIA H100/H200 产品页；NVIDIA T4 产品简报（FP16 65/INT8 130/INT4 260）；NVIDIA Turing T4 白皮书（Tensor 核公式）；Microway/TechPowerUp 各卡规格表。</t>
  </si>
  <si>
    <t xml:space="preserve">十二、2026年8月第四次更新补充：新增「速览对比」表（更直观的选型视图）</t>
  </si>
  <si>
    <t xml:space="preserve">1. 新增「速览对比」表并设为首页标签：64 款型号按行排列（每行一款），20 列关键参数按列排布，冻结首行与型号列、全表支持筛选，CUDA/FP16稠密/INT8/显存/带宽列带数据条，架构代际以色块区分。</t>
  </si>
  <si>
    <t xml:space="preserve">2. 完全重复的型号列已合并（A40、A30 各保留一行）；RTX 8000 / RTX 6000 两个变体按散热方式标注（主动/被动散热，频率不同算力不同）。</t>
  </si>
  <si>
    <t xml:space="preserve">3. 「低精度峰值」列统一折算为 TOPS 便于横向比较：Blackwell 取 FP4 稀疏（PFLOPS×1000）、Ada/Hopper 取 FP8 稀疏（=INT8 峰值）、Turing/Ampere 取 INT4；类型见「低精度类型」列。</t>
  </si>
  <si>
    <t xml:space="preserve">十三、2026年8月结构调整：删除「参数对比」表</t>
  </si>
  <si>
    <t xml:space="preserve">1. 原「参数对比」（64列转置大表）已删除，其全部 24 个参数行完整迁入「速览对比」第 U~AR 隐藏列（不影响浏览，仅在公式后台引用）。</t>
  </si>
  <si>
    <t xml:space="preserve">2. 「选型对比」表的型号下拉、参数明细与 4 张柱状图功能不变：数据引用已改指「速览对比」隐藏列与「数值数据」表；下拉列表随「速览对比」型号行（61 款，重复型号已合并）。</t>
  </si>
  <si>
    <t xml:space="preserve">十四、2026年8月新增型号：RTX 5080 / RTX 5070 Ti</t>
  </si>
  <si>
    <t xml:space="preserve">1. 「速览对比」新增 RTX 5080（GB203 Blackwell，10,752 CUDA / 336 Tensor，16GB GDDR7 960GB/s，FP16 Tensor 225.4|450.7 TFLOPS²，FP4 0.9|1.8 PFLOPS²，TDP 360W）与 RTX 5070 Ti（GB203 Blackwell，8,960 CUDA / 280 Tensor，16GB GDDR7 896GB/s，FP16 Tensor 175.6|351.3 TFLOPS²，FP4 0.7|1.4 PFLOPS²，TDP 300W），位于 RTX 5090D 之后。</t>
  </si>
  <si>
    <t xml:space="preserve">2. 「数值数据」表同步新增两列；「选型对比」下拉列表与公式范围已扩展（速览 63 款 / 数值数据 66 列），HTML 选型工具同步更新。</t>
  </si>
  <si>
    <t xml:space="preserve">十五、2026年8月删除型号：K80 (EOL)（Kepler 架构已停产多年，自「速览对比」「数值数据」及下拉列表移除；现速览 62 款 / 数值数据 65 列）。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</si>
</sst>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"/>
    <numFmt numFmtId="166" formatCode="#,##0"/>
  </numFmts>
  <fonts count="32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微软雅黑"/>
      <family val="0"/>
      <charset val="1"/>
    </font>
    <font>
      <sz val="9"/>
      <name val="微软雅黑"/>
      <family val="0"/>
      <charset val="1"/>
    </font>
    <font>
      <sz val="9"/>
      <name val="Noto Sans CJK SC"/>
      <family val="2"/>
      <charset val="1"/>
    </font>
    <font>
      <b val="true"/>
      <sz val="10"/>
      <name val="微软雅黑"/>
      <family val="0"/>
      <charset val="1"/>
    </font>
    <font>
      <sz val="11"/>
      <color rgb="FF00000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4"/>
      <color rgb="FF1F4E00"/>
      <name val="微软雅黑"/>
      <family val="0"/>
      <charset val="1"/>
    </font>
    <font>
      <b val="true"/>
      <sz val="14"/>
      <color rgb="FF1F4E00"/>
      <name val="Noto Sans CJK SC"/>
      <family val="0"/>
      <charset val="1"/>
    </font>
    <font>
      <sz val="9"/>
      <color rgb="FF595959"/>
      <name val="Noto Sans CJK SC"/>
      <family val="0"/>
      <charset val="1"/>
    </font>
    <font>
      <sz val="9"/>
      <color rgb="FF595959"/>
      <name val="微软雅黑"/>
      <family val="0"/>
      <charset val="1"/>
    </font>
    <font>
      <b val="true"/>
      <sz val="9"/>
      <name val="Noto Sans CJK SC"/>
      <family val="0"/>
      <charset val="1"/>
    </font>
    <font>
      <b val="true"/>
      <sz val="9"/>
      <color rgb="FFC00000"/>
      <name val="微软雅黑"/>
      <family val="0"/>
      <charset val="1"/>
    </font>
    <font>
      <b val="true"/>
      <sz val="9"/>
      <color rgb="FF000000"/>
      <name val="微软雅黑"/>
      <family val="0"/>
      <charset val="1"/>
    </font>
    <font>
      <sz val="8"/>
      <color rgb="FF808080"/>
      <name val="Noto Sans CJK SC"/>
      <family val="0"/>
      <charset val="1"/>
    </font>
    <font>
      <sz val="8"/>
      <color rgb="FF808080"/>
      <name val="微软雅黑"/>
      <family val="0"/>
      <charset val="1"/>
    </font>
    <font>
      <sz val="9"/>
      <name val="Noto Sans CJK SC"/>
      <family val="0"/>
      <charset val="1"/>
    </font>
    <font>
      <b val="true"/>
      <sz val="9"/>
      <color rgb="FF1F4E00"/>
      <name val="Noto Sans CJK SC"/>
      <family val="0"/>
      <charset val="1"/>
    </font>
    <font>
      <b val="true"/>
      <sz val="9"/>
      <name val="微软雅黑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Noto Sans CJK SC"/>
      <family val="0"/>
      <charset val="1"/>
    </font>
    <font>
      <b val="true"/>
      <sz val="9"/>
      <color rgb="FFFFFFFF"/>
      <name val="微软雅黑"/>
      <family val="0"/>
      <charset val="1"/>
    </font>
    <font>
      <sz val="9"/>
      <color rgb="FF808080"/>
      <name val="Noto Sans CJK SC"/>
      <family val="0"/>
      <charset val="1"/>
    </font>
    <font>
      <b val="true"/>
      <sz val="14"/>
      <name val="Noto Sans CJK SC"/>
      <family val="0"/>
      <charset val="1"/>
    </font>
    <font>
      <b val="true"/>
      <sz val="10"/>
      <color rgb="FF1F4E79"/>
      <name val="Noto Sans CJK SC"/>
      <family val="0"/>
      <charset val="1"/>
    </font>
    <font>
      <b val="true"/>
      <sz val="10"/>
      <name val="Noto Sans CJK SC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375623"/>
        <bgColor rgb="FF1F4E00"/>
      </patternFill>
    </fill>
    <fill>
      <patternFill patternType="solid">
        <fgColor rgb="FFA9C47F"/>
        <bgColor rgb="FF9BBB59"/>
      </patternFill>
    </fill>
    <fill>
      <patternFill patternType="solid">
        <fgColor rgb="FFC6E0B4"/>
        <bgColor rgb="FFD0D0D0"/>
      </patternFill>
    </fill>
    <fill>
      <patternFill patternType="solid">
        <fgColor rgb="FFBDD7EE"/>
        <bgColor rgb="FFD6DCE4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4CCCC"/>
      </patternFill>
    </fill>
    <fill>
      <patternFill patternType="solid">
        <fgColor rgb="FFD6DCE4"/>
        <bgColor rgb="FFD9D9D9"/>
      </patternFill>
    </fill>
    <fill>
      <patternFill patternType="solid">
        <fgColor rgb="FFD9D2E9"/>
        <bgColor rgb="FFD9D9D9"/>
      </patternFill>
    </fill>
    <fill>
      <patternFill patternType="solid">
        <fgColor rgb="FFF4CCCC"/>
        <bgColor rgb="FFF8CBAD"/>
      </patternFill>
    </fill>
    <fill>
      <patternFill patternType="solid">
        <fgColor rgb="FFFFF2CC"/>
        <bgColor rgb="FFF9F9F9"/>
      </patternFill>
    </fill>
    <fill>
      <patternFill patternType="solid">
        <fgColor rgb="FF00B0F0"/>
        <bgColor rgb="FF33CCCC"/>
      </patternFill>
    </fill>
    <fill>
      <patternFill patternType="solid">
        <fgColor rgb="FF404040"/>
        <bgColor rgb="FF333333"/>
      </patternFill>
    </fill>
    <fill>
      <patternFill patternType="solid">
        <fgColor rgb="FF333333"/>
        <bgColor rgb="FF40404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1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FBFBF"/>
      <rgbColor rgb="FF808080"/>
      <rgbColor rgb="FFA9C47F"/>
      <rgbColor rgb="FFC0504D"/>
      <rgbColor rgb="FFFFF2CC"/>
      <rgbColor rgb="FFF9F9F9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DCE4"/>
      <rgbColor rgb="FFC6E0B4"/>
      <rgbColor rgb="FFFFE699"/>
      <rgbColor rgb="FFBDD7EE"/>
      <rgbColor rgb="FFF4CCCC"/>
      <rgbColor rgb="FFD0D0D0"/>
      <rgbColor rgb="FFF8CBAD"/>
      <rgbColor rgb="FF4F81BD"/>
      <rgbColor rgb="FF33CCCC"/>
      <rgbColor rgb="FF76B900"/>
      <rgbColor rgb="FFD9D9D9"/>
      <rgbColor rgb="FFFF9900"/>
      <rgbColor rgb="FFFF6600"/>
      <rgbColor rgb="FF595959"/>
      <rgbColor rgb="FF878787"/>
      <rgbColor rgb="FF404040"/>
      <rgbColor rgb="FF339966"/>
      <rgbColor rgb="FF375623"/>
      <rgbColor rgb="FF1F4E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算力对比：FP32 / FP16 Tensor（TFLOPS）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选型对比!$B$38</c:f>
              <c:strCache>
                <c:ptCount val="1"/>
                <c:pt idx="0">
                  <c:v>FP32 算力 (TFLOPS)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选型对比!$C$38:$H$38</c:f>
              <c:numCache>
                <c:formatCode>General</c:formatCode>
                <c:ptCount val="6"/>
                <c:pt idx="0">
                  <c:v>75</c:v>
                </c:pt>
                <c:pt idx="1">
                  <c:v>75</c:v>
                </c:pt>
                <c:pt idx="2">
                  <c:v>67</c:v>
                </c:pt>
                <c:pt idx="3">
                  <c:v>83</c:v>
                </c:pt>
              </c:numCache>
            </c:numRef>
          </c:val>
        </c:ser>
        <c:ser>
          <c:idx val="1"/>
          <c:order val="1"/>
          <c:tx>
            <c:strRef>
              <c:f>选型对比!$B$39</c:f>
              <c:strCache>
                <c:ptCount val="1"/>
                <c:pt idx="0">
                  <c:v>FP16 Tensor 稠密 (TFLOPS)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选型对比!$C$39:$H$39</c:f>
              <c:numCache>
                <c:formatCode>General</c:formatCode>
                <c:ptCount val="6"/>
                <c:pt idx="0">
                  <c:v>2250</c:v>
                </c:pt>
                <c:pt idx="1">
                  <c:v>2250</c:v>
                </c:pt>
                <c:pt idx="2">
                  <c:v>989</c:v>
                </c:pt>
                <c:pt idx="3">
                  <c:v>2500</c:v>
                </c:pt>
              </c:numCache>
            </c:numRef>
          </c:val>
        </c:ser>
        <c:ser>
          <c:idx val="2"/>
          <c:order val="2"/>
          <c:tx>
            <c:strRef>
              <c:f>选型对比!$B$40</c:f>
              <c:strCache>
                <c:ptCount val="1"/>
                <c:pt idx="0">
                  <c:v>FP16 Tensor 稀疏 (TFLOPS)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选型对比!$C$40:$H$40</c:f>
              <c:numCache>
                <c:formatCode>General</c:formatCode>
                <c:ptCount val="6"/>
                <c:pt idx="0">
                  <c:v>4500</c:v>
                </c:pt>
                <c:pt idx="1">
                  <c:v>4500</c:v>
                </c:pt>
                <c:pt idx="2">
                  <c:v>1979</c:v>
                </c:pt>
                <c:pt idx="3">
                  <c:v>5000</c:v>
                </c:pt>
              </c:numCache>
            </c:numRef>
          </c:val>
        </c:ser>
        <c:gapWidth val="60"/>
        <c:overlap val="0"/>
        <c:axId val="80352502"/>
        <c:axId val="26940944"/>
      </c:barChart>
      <c:catAx>
        <c:axId val="803525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40944"/>
        <c:crosses val="autoZero"/>
        <c:auto val="1"/>
        <c:lblAlgn val="ctr"/>
        <c:lblOffset val="100"/>
        <c:noMultiLvlLbl val="0"/>
      </c:catAx>
      <c:valAx>
        <c:axId val="26940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52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显存容量对比（GB）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选型对比!$B$43</c:f>
              <c:strCache>
                <c:ptCount val="1"/>
                <c:pt idx="0">
                  <c:v>显存容量 (GB)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选型对比!$C$43:$H$43</c:f>
              <c:numCache>
                <c:formatCode>General</c:formatCode>
                <c:ptCount val="6"/>
                <c:pt idx="0">
                  <c:v>288</c:v>
                </c:pt>
                <c:pt idx="1">
                  <c:v>192</c:v>
                </c:pt>
                <c:pt idx="2">
                  <c:v>80</c:v>
                </c:pt>
                <c:pt idx="3">
                  <c:v>288</c:v>
                </c:pt>
              </c:numCache>
            </c:numRef>
          </c:val>
        </c:ser>
        <c:gapWidth val="60"/>
        <c:overlap val="0"/>
        <c:axId val="16534036"/>
        <c:axId val="46310528"/>
      </c:barChart>
      <c:catAx>
        <c:axId val="165340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10528"/>
        <c:crosses val="autoZero"/>
        <c:auto val="1"/>
        <c:lblAlgn val="ctr"/>
        <c:lblOffset val="100"/>
        <c:noMultiLvlLbl val="0"/>
      </c:catAx>
      <c:valAx>
        <c:axId val="46310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34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显存带宽对比（GB/s）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选型对比!$B$44</c:f>
              <c:strCache>
                <c:ptCount val="1"/>
                <c:pt idx="0">
                  <c:v>显存带宽 (GB/s)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选型对比!$C$44:$H$44</c:f>
              <c:numCache>
                <c:formatCode>General</c:formatCode>
                <c:ptCount val="6"/>
                <c:pt idx="0">
                  <c:v>8000</c:v>
                </c:pt>
                <c:pt idx="1">
                  <c:v>8000</c:v>
                </c:pt>
                <c:pt idx="2">
                  <c:v>3350</c:v>
                </c:pt>
                <c:pt idx="3">
                  <c:v>8000</c:v>
                </c:pt>
              </c:numCache>
            </c:numRef>
          </c:val>
        </c:ser>
        <c:gapWidth val="60"/>
        <c:overlap val="0"/>
        <c:axId val="48678994"/>
        <c:axId val="87981176"/>
      </c:barChart>
      <c:catAx>
        <c:axId val="486789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81176"/>
        <c:crosses val="autoZero"/>
        <c:auto val="1"/>
        <c:lblAlgn val="ctr"/>
        <c:lblOffset val="100"/>
        <c:noMultiLvlLbl val="0"/>
      </c:catAx>
      <c:valAx>
        <c:axId val="87981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789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TDP 设计功耗对比（W）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选型对比!$B$45</c:f>
              <c:strCache>
                <c:ptCount val="1"/>
                <c:pt idx="0">
                  <c:v>TDP (W)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选型对比!$C$45:$H$45</c:f>
              <c:numCache>
                <c:formatCode>General</c:formatCode>
                <c:ptCount val="6"/>
                <c:pt idx="0">
                  <c:v>1400</c:v>
                </c:pt>
                <c:pt idx="1">
                  <c:v>1000</c:v>
                </c:pt>
                <c:pt idx="2">
                  <c:v>700</c:v>
                </c:pt>
                <c:pt idx="3">
                  <c:v>1400</c:v>
                </c:pt>
              </c:numCache>
            </c:numRef>
          </c:val>
        </c:ser>
        <c:gapWidth val="60"/>
        <c:overlap val="0"/>
        <c:axId val="37761215"/>
        <c:axId val="54830180"/>
      </c:barChart>
      <c:catAx>
        <c:axId val="37761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30180"/>
        <c:crosses val="autoZero"/>
        <c:auto val="1"/>
        <c:lblAlgn val="ctr"/>
        <c:lblOffset val="100"/>
        <c:noMultiLvlLbl val="0"/>
      </c:catAx>
      <c:valAx>
        <c:axId val="54830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61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47</xdr:row>
      <xdr:rowOff>0</xdr:rowOff>
    </xdr:from>
    <xdr:to>
      <xdr:col>3</xdr:col>
      <xdr:colOff>934920</xdr:colOff>
      <xdr:row>63</xdr:row>
      <xdr:rowOff>7560</xdr:rowOff>
    </xdr:to>
    <xdr:graphicFrame>
      <xdr:nvGraphicFramePr>
        <xdr:cNvPr id="0" name="Chart 1"/>
        <xdr:cNvGraphicFramePr/>
      </xdr:nvGraphicFramePr>
      <xdr:xfrm>
        <a:off x="240120" y="12580560"/>
        <a:ext cx="5575320" cy="342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47</xdr:row>
      <xdr:rowOff>0</xdr:rowOff>
    </xdr:from>
    <xdr:to>
      <xdr:col>13</xdr:col>
      <xdr:colOff>216360</xdr:colOff>
      <xdr:row>63</xdr:row>
      <xdr:rowOff>7560</xdr:rowOff>
    </xdr:to>
    <xdr:graphicFrame>
      <xdr:nvGraphicFramePr>
        <xdr:cNvPr id="1" name="Chart 2"/>
        <xdr:cNvGraphicFramePr/>
      </xdr:nvGraphicFramePr>
      <xdr:xfrm>
        <a:off x="12561480" y="12580560"/>
        <a:ext cx="5575320" cy="342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65</xdr:row>
      <xdr:rowOff>0</xdr:rowOff>
    </xdr:from>
    <xdr:to>
      <xdr:col>3</xdr:col>
      <xdr:colOff>934920</xdr:colOff>
      <xdr:row>81</xdr:row>
      <xdr:rowOff>7560</xdr:rowOff>
    </xdr:to>
    <xdr:graphicFrame>
      <xdr:nvGraphicFramePr>
        <xdr:cNvPr id="2" name="Chart 3"/>
        <xdr:cNvGraphicFramePr/>
      </xdr:nvGraphicFramePr>
      <xdr:xfrm>
        <a:off x="240120" y="16421040"/>
        <a:ext cx="5575320" cy="342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65</xdr:row>
      <xdr:rowOff>0</xdr:rowOff>
    </xdr:from>
    <xdr:to>
      <xdr:col>13</xdr:col>
      <xdr:colOff>216360</xdr:colOff>
      <xdr:row>81</xdr:row>
      <xdr:rowOff>7560</xdr:rowOff>
    </xdr:to>
    <xdr:graphicFrame>
      <xdr:nvGraphicFramePr>
        <xdr:cNvPr id="3" name="Chart 4"/>
        <xdr:cNvGraphicFramePr/>
      </xdr:nvGraphicFramePr>
      <xdr:xfrm>
        <a:off x="12561480" y="16421040"/>
        <a:ext cx="5575320" cy="342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59765625" defaultRowHeight="18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16" min="7" style="1" width="12.5"/>
    <col collapsed="false" customWidth="true" hidden="false" outlineLevel="0" max="17" min="17" style="1" width="10"/>
    <col collapsed="false" customWidth="true" hidden="false" outlineLevel="0" max="20" min="18" style="1" width="10.5"/>
    <col collapsed="false" customWidth="true" hidden="true" outlineLevel="0" max="44" min="21" style="1" width="12"/>
  </cols>
  <sheetData>
    <row r="1" customFormat="false" ht="30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customFormat="false" ht="18" hidden="false" customHeight="false" outlineLevel="0" collapsed="false">
      <c r="A2" s="6" t="s">
        <v>44</v>
      </c>
      <c r="B2" s="7" t="s">
        <v>45</v>
      </c>
      <c r="C2" s="8" t="s">
        <v>46</v>
      </c>
      <c r="D2" s="9" t="s">
        <v>47</v>
      </c>
      <c r="E2" s="10" t="n">
        <v>16896</v>
      </c>
      <c r="F2" s="10" t="n">
        <v>528</v>
      </c>
      <c r="G2" s="11" t="n">
        <v>83</v>
      </c>
      <c r="H2" s="11" t="n">
        <v>166</v>
      </c>
      <c r="I2" s="11" t="n">
        <v>2500</v>
      </c>
      <c r="J2" s="11" t="n">
        <v>5000</v>
      </c>
      <c r="K2" s="11" t="n">
        <v>1250</v>
      </c>
      <c r="L2" s="11" t="n">
        <v>2500</v>
      </c>
      <c r="M2" s="11" t="n">
        <v>1.4</v>
      </c>
      <c r="N2" s="11" t="n">
        <v>1.4</v>
      </c>
      <c r="O2" s="10" t="n">
        <v>375</v>
      </c>
      <c r="P2" s="10" t="n">
        <v>20000</v>
      </c>
      <c r="Q2" s="8" t="s">
        <v>48</v>
      </c>
      <c r="R2" s="10" t="n">
        <v>288</v>
      </c>
      <c r="S2" s="10" t="n">
        <v>8000</v>
      </c>
      <c r="T2" s="11" t="n">
        <v>1400</v>
      </c>
      <c r="U2" s="12" t="s">
        <v>49</v>
      </c>
      <c r="X2" s="13" t="s">
        <v>50</v>
      </c>
      <c r="Y2" s="13" t="s">
        <v>51</v>
      </c>
      <c r="Z2" s="13" t="s">
        <v>52</v>
      </c>
      <c r="AA2" s="13" t="s">
        <v>53</v>
      </c>
      <c r="AB2" s="13" t="s">
        <v>53</v>
      </c>
      <c r="AC2" s="13" t="s">
        <v>54</v>
      </c>
      <c r="AD2" s="13" t="s">
        <v>55</v>
      </c>
      <c r="AE2" s="13" t="s">
        <v>56</v>
      </c>
      <c r="AF2" s="13" t="s">
        <v>57</v>
      </c>
      <c r="AG2" s="13" t="s">
        <v>58</v>
      </c>
      <c r="AH2" s="13" t="s">
        <v>59</v>
      </c>
      <c r="AI2" s="13" t="s">
        <v>60</v>
      </c>
      <c r="AJ2" s="13" t="s">
        <v>61</v>
      </c>
      <c r="AK2" s="13" t="s">
        <v>62</v>
      </c>
      <c r="AL2" s="13" t="s">
        <v>62</v>
      </c>
      <c r="AM2" s="13" t="s">
        <v>63</v>
      </c>
      <c r="AN2" s="13" t="s">
        <v>64</v>
      </c>
      <c r="AO2" s="13" t="s">
        <v>65</v>
      </c>
      <c r="AP2" s="13" t="s">
        <v>66</v>
      </c>
      <c r="AQ2" s="13" t="s">
        <v>67</v>
      </c>
      <c r="AR2" s="13" t="s">
        <v>68</v>
      </c>
    </row>
    <row r="3" customFormat="false" ht="18" hidden="false" customHeight="false" outlineLevel="0" collapsed="false">
      <c r="A3" s="6" t="s">
        <v>69</v>
      </c>
      <c r="B3" s="7" t="s">
        <v>45</v>
      </c>
      <c r="C3" s="8" t="s">
        <v>46</v>
      </c>
      <c r="D3" s="9" t="s">
        <v>47</v>
      </c>
      <c r="E3" s="10" t="n">
        <v>16896</v>
      </c>
      <c r="F3" s="10" t="n">
        <v>528</v>
      </c>
      <c r="G3" s="11" t="n">
        <v>75</v>
      </c>
      <c r="H3" s="11" t="n">
        <v>150</v>
      </c>
      <c r="I3" s="11" t="n">
        <v>2250</v>
      </c>
      <c r="J3" s="11" t="n">
        <v>4500</v>
      </c>
      <c r="K3" s="11" t="n">
        <v>1125</v>
      </c>
      <c r="L3" s="11" t="n">
        <v>2250</v>
      </c>
      <c r="M3" s="11" t="n">
        <v>1.25</v>
      </c>
      <c r="N3" s="11" t="n">
        <v>1.25</v>
      </c>
      <c r="O3" s="10" t="n">
        <v>375</v>
      </c>
      <c r="P3" s="10" t="n">
        <v>18000</v>
      </c>
      <c r="Q3" s="8" t="s">
        <v>48</v>
      </c>
      <c r="R3" s="10" t="n">
        <v>288</v>
      </c>
      <c r="S3" s="10" t="n">
        <v>8000</v>
      </c>
      <c r="T3" s="11" t="n">
        <v>1400</v>
      </c>
      <c r="U3" s="13" t="s">
        <v>70</v>
      </c>
      <c r="X3" s="13" t="s">
        <v>50</v>
      </c>
      <c r="Y3" s="13" t="s">
        <v>71</v>
      </c>
      <c r="Z3" s="13" t="s">
        <v>72</v>
      </c>
      <c r="AA3" s="13" t="s">
        <v>53</v>
      </c>
      <c r="AB3" s="13" t="s">
        <v>53</v>
      </c>
      <c r="AC3" s="13" t="s">
        <v>54</v>
      </c>
      <c r="AD3" s="13" t="s">
        <v>55</v>
      </c>
      <c r="AE3" s="13" t="s">
        <v>56</v>
      </c>
      <c r="AF3" s="13" t="s">
        <v>73</v>
      </c>
      <c r="AG3" s="13" t="s">
        <v>74</v>
      </c>
      <c r="AH3" s="13" t="s">
        <v>75</v>
      </c>
      <c r="AI3" s="13" t="s">
        <v>76</v>
      </c>
      <c r="AJ3" s="13" t="s">
        <v>77</v>
      </c>
      <c r="AK3" s="13" t="s">
        <v>78</v>
      </c>
      <c r="AL3" s="13" t="s">
        <v>78</v>
      </c>
      <c r="AM3" s="13" t="s">
        <v>63</v>
      </c>
      <c r="AN3" s="13" t="s">
        <v>79</v>
      </c>
      <c r="AO3" s="13" t="s">
        <v>80</v>
      </c>
      <c r="AP3" s="13" t="s">
        <v>81</v>
      </c>
      <c r="AQ3" s="13" t="s">
        <v>82</v>
      </c>
      <c r="AR3" s="13" t="s">
        <v>83</v>
      </c>
    </row>
    <row r="4" customFormat="false" ht="18" hidden="false" customHeight="false" outlineLevel="0" collapsed="false">
      <c r="A4" s="6" t="s">
        <v>84</v>
      </c>
      <c r="B4" s="14" t="s">
        <v>85</v>
      </c>
      <c r="C4" s="8" t="s">
        <v>86</v>
      </c>
      <c r="D4" s="9" t="s">
        <v>47</v>
      </c>
      <c r="E4" s="10" t="n">
        <v>16896</v>
      </c>
      <c r="F4" s="10" t="n">
        <v>528</v>
      </c>
      <c r="G4" s="11" t="n">
        <v>75</v>
      </c>
      <c r="H4" s="11" t="n">
        <v>150</v>
      </c>
      <c r="I4" s="11" t="n">
        <v>2250</v>
      </c>
      <c r="J4" s="11" t="n">
        <v>4500</v>
      </c>
      <c r="K4" s="11" t="n">
        <v>1125</v>
      </c>
      <c r="L4" s="11" t="n">
        <v>2250</v>
      </c>
      <c r="M4" s="11" t="n">
        <v>37</v>
      </c>
      <c r="N4" s="11" t="n">
        <v>37</v>
      </c>
      <c r="O4" s="10" t="n">
        <v>9000</v>
      </c>
      <c r="P4" s="10" t="n">
        <v>18000</v>
      </c>
      <c r="Q4" s="8" t="s">
        <v>48</v>
      </c>
      <c r="R4" s="10" t="n">
        <v>192</v>
      </c>
      <c r="S4" s="10" t="n">
        <v>8000</v>
      </c>
      <c r="T4" s="11" t="n">
        <v>1000</v>
      </c>
      <c r="U4" s="12" t="s">
        <v>87</v>
      </c>
      <c r="X4" s="13" t="s">
        <v>88</v>
      </c>
      <c r="Y4" s="13" t="s">
        <v>71</v>
      </c>
      <c r="Z4" s="13" t="s">
        <v>72</v>
      </c>
      <c r="AA4" s="13" t="s">
        <v>89</v>
      </c>
      <c r="AB4" s="13" t="s">
        <v>90</v>
      </c>
      <c r="AC4" s="13" t="s">
        <v>91</v>
      </c>
      <c r="AD4" s="13" t="s">
        <v>92</v>
      </c>
      <c r="AE4" s="13" t="s">
        <v>56</v>
      </c>
      <c r="AF4" s="13" t="s">
        <v>93</v>
      </c>
      <c r="AG4" s="13" t="s">
        <v>74</v>
      </c>
      <c r="AH4" s="13" t="s">
        <v>75</v>
      </c>
      <c r="AI4" s="13" t="s">
        <v>76</v>
      </c>
      <c r="AJ4" s="13" t="s">
        <v>77</v>
      </c>
      <c r="AK4" s="13" t="s">
        <v>94</v>
      </c>
      <c r="AL4" s="13" t="s">
        <v>94</v>
      </c>
      <c r="AM4" s="13" t="s">
        <v>95</v>
      </c>
      <c r="AN4" s="13" t="s">
        <v>96</v>
      </c>
      <c r="AO4" s="13" t="s">
        <v>97</v>
      </c>
      <c r="AP4" s="13" t="s">
        <v>81</v>
      </c>
      <c r="AQ4" s="13" t="s">
        <v>98</v>
      </c>
      <c r="AR4" s="13" t="s">
        <v>99</v>
      </c>
    </row>
    <row r="5" customFormat="false" ht="18" hidden="false" customHeight="false" outlineLevel="0" collapsed="false">
      <c r="A5" s="6" t="s">
        <v>100</v>
      </c>
      <c r="B5" s="14" t="s">
        <v>85</v>
      </c>
      <c r="C5" s="8" t="s">
        <v>101</v>
      </c>
      <c r="D5" s="9" t="s">
        <v>102</v>
      </c>
      <c r="E5" s="10" t="n">
        <v>24064</v>
      </c>
      <c r="F5" s="10" t="n">
        <v>752</v>
      </c>
      <c r="G5" s="11" t="n">
        <v>125</v>
      </c>
      <c r="H5" s="11" t="n">
        <v>125</v>
      </c>
      <c r="I5" s="11" t="n">
        <v>500</v>
      </c>
      <c r="J5" s="11" t="n">
        <v>1000</v>
      </c>
      <c r="K5" s="11" t="n">
        <v>250</v>
      </c>
      <c r="L5" s="11" t="n">
        <v>500</v>
      </c>
      <c r="M5" s="11" t="n">
        <v>1.95</v>
      </c>
      <c r="N5" s="11"/>
      <c r="O5" s="10" t="n">
        <v>2000</v>
      </c>
      <c r="P5" s="10" t="n">
        <v>4000</v>
      </c>
      <c r="Q5" s="8" t="s">
        <v>48</v>
      </c>
      <c r="R5" s="10" t="n">
        <v>96</v>
      </c>
      <c r="S5" s="10" t="n">
        <v>1792</v>
      </c>
      <c r="T5" s="11" t="n">
        <v>600</v>
      </c>
      <c r="U5" s="13" t="s">
        <v>103</v>
      </c>
      <c r="X5" s="13" t="s">
        <v>104</v>
      </c>
      <c r="Y5" s="13" t="s">
        <v>105</v>
      </c>
      <c r="Z5" s="13" t="s">
        <v>106</v>
      </c>
      <c r="AA5" s="13" t="s">
        <v>53</v>
      </c>
      <c r="AB5" s="13" t="s">
        <v>107</v>
      </c>
      <c r="AC5" s="13" t="s">
        <v>108</v>
      </c>
      <c r="AD5" s="13" t="s">
        <v>109</v>
      </c>
      <c r="AE5" s="13" t="s">
        <v>110</v>
      </c>
      <c r="AF5" s="13" t="s">
        <v>111</v>
      </c>
      <c r="AG5" s="13" t="s">
        <v>112</v>
      </c>
      <c r="AH5" s="13" t="s">
        <v>113</v>
      </c>
      <c r="AI5" s="13" t="s">
        <v>112</v>
      </c>
      <c r="AJ5" s="13" t="s">
        <v>114</v>
      </c>
      <c r="AK5" s="13" t="s">
        <v>115</v>
      </c>
      <c r="AL5" s="13" t="s">
        <v>53</v>
      </c>
      <c r="AM5" s="13" t="s">
        <v>116</v>
      </c>
      <c r="AN5" s="13" t="s">
        <v>117</v>
      </c>
      <c r="AO5" s="13" t="s">
        <v>118</v>
      </c>
      <c r="AP5" s="13" t="s">
        <v>119</v>
      </c>
      <c r="AQ5" s="13" t="s">
        <v>120</v>
      </c>
      <c r="AR5" s="13" t="s">
        <v>121</v>
      </c>
    </row>
    <row r="6" customFormat="false" ht="18" hidden="false" customHeight="false" outlineLevel="0" collapsed="false">
      <c r="A6" s="6" t="s">
        <v>122</v>
      </c>
      <c r="B6" s="14" t="s">
        <v>85</v>
      </c>
      <c r="C6" s="8" t="s">
        <v>101</v>
      </c>
      <c r="D6" s="9" t="s">
        <v>102</v>
      </c>
      <c r="E6" s="10" t="n">
        <v>19968</v>
      </c>
      <c r="F6" s="10" t="n">
        <v>624</v>
      </c>
      <c r="G6" s="11" t="n">
        <v>97</v>
      </c>
      <c r="H6" s="11" t="n">
        <v>97</v>
      </c>
      <c r="I6" s="11" t="n">
        <v>388</v>
      </c>
      <c r="J6" s="11" t="n">
        <v>776</v>
      </c>
      <c r="K6" s="11" t="n">
        <v>194</v>
      </c>
      <c r="L6" s="11" t="n">
        <v>388</v>
      </c>
      <c r="M6" s="11" t="n">
        <v>1.5</v>
      </c>
      <c r="N6" s="11"/>
      <c r="O6" s="10" t="n">
        <v>1552</v>
      </c>
      <c r="P6" s="10" t="n">
        <v>3100</v>
      </c>
      <c r="Q6" s="8" t="s">
        <v>48</v>
      </c>
      <c r="R6" s="10" t="n">
        <v>84</v>
      </c>
      <c r="S6" s="10" t="n">
        <v>1398</v>
      </c>
      <c r="T6" s="11" t="n">
        <v>600</v>
      </c>
      <c r="U6" s="13" t="s">
        <v>123</v>
      </c>
      <c r="X6" s="13" t="s">
        <v>104</v>
      </c>
      <c r="Y6" s="13" t="s">
        <v>124</v>
      </c>
      <c r="Z6" s="13" t="s">
        <v>125</v>
      </c>
      <c r="AA6" s="13" t="s">
        <v>53</v>
      </c>
      <c r="AB6" s="13" t="s">
        <v>126</v>
      </c>
      <c r="AC6" s="13" t="s">
        <v>127</v>
      </c>
      <c r="AD6" s="13" t="s">
        <v>128</v>
      </c>
      <c r="AE6" s="13" t="s">
        <v>129</v>
      </c>
      <c r="AF6" s="13" t="s">
        <v>130</v>
      </c>
      <c r="AG6" s="13" t="s">
        <v>131</v>
      </c>
      <c r="AH6" s="13" t="s">
        <v>132</v>
      </c>
      <c r="AI6" s="13" t="s">
        <v>131</v>
      </c>
      <c r="AJ6" s="13" t="s">
        <v>133</v>
      </c>
      <c r="AK6" s="13" t="s">
        <v>134</v>
      </c>
      <c r="AL6" s="13" t="s">
        <v>53</v>
      </c>
      <c r="AM6" s="13" t="s">
        <v>135</v>
      </c>
      <c r="AN6" s="13" t="s">
        <v>136</v>
      </c>
      <c r="AO6" s="13" t="s">
        <v>118</v>
      </c>
      <c r="AP6" s="13" t="s">
        <v>119</v>
      </c>
      <c r="AQ6" s="13" t="s">
        <v>137</v>
      </c>
      <c r="AR6" s="13" t="s">
        <v>121</v>
      </c>
    </row>
    <row r="7" customFormat="false" ht="18" hidden="false" customHeight="false" outlineLevel="0" collapsed="false">
      <c r="A7" s="6" t="s">
        <v>138</v>
      </c>
      <c r="B7" s="14" t="s">
        <v>85</v>
      </c>
      <c r="C7" s="8" t="s">
        <v>101</v>
      </c>
      <c r="D7" s="9" t="s">
        <v>102</v>
      </c>
      <c r="E7" s="10" t="n">
        <v>14080</v>
      </c>
      <c r="F7" s="10" t="n">
        <v>440</v>
      </c>
      <c r="G7" s="11" t="n">
        <v>65</v>
      </c>
      <c r="H7" s="11" t="n">
        <v>65</v>
      </c>
      <c r="I7" s="11" t="n">
        <v>260</v>
      </c>
      <c r="J7" s="11" t="n">
        <v>520</v>
      </c>
      <c r="K7" s="11" t="n">
        <v>130</v>
      </c>
      <c r="L7" s="11" t="n">
        <v>260</v>
      </c>
      <c r="M7" s="11" t="n">
        <v>1</v>
      </c>
      <c r="N7" s="11"/>
      <c r="O7" s="10" t="n">
        <v>1040</v>
      </c>
      <c r="P7" s="10" t="n">
        <v>2100</v>
      </c>
      <c r="Q7" s="8" t="s">
        <v>48</v>
      </c>
      <c r="R7" s="10" t="n">
        <v>48</v>
      </c>
      <c r="S7" s="10" t="n">
        <v>1344</v>
      </c>
      <c r="T7" s="11" t="n">
        <v>300</v>
      </c>
      <c r="U7" s="13" t="s">
        <v>139</v>
      </c>
      <c r="X7" s="13" t="s">
        <v>104</v>
      </c>
      <c r="Y7" s="13" t="s">
        <v>140</v>
      </c>
      <c r="Z7" s="13" t="s">
        <v>141</v>
      </c>
      <c r="AA7" s="13" t="s">
        <v>53</v>
      </c>
      <c r="AB7" s="13" t="s">
        <v>142</v>
      </c>
      <c r="AC7" s="13" t="s">
        <v>108</v>
      </c>
      <c r="AD7" s="13" t="s">
        <v>143</v>
      </c>
      <c r="AE7" s="13" t="s">
        <v>144</v>
      </c>
      <c r="AF7" s="13" t="s">
        <v>145</v>
      </c>
      <c r="AG7" s="13" t="s">
        <v>146</v>
      </c>
      <c r="AH7" s="13" t="s">
        <v>147</v>
      </c>
      <c r="AI7" s="13" t="s">
        <v>146</v>
      </c>
      <c r="AJ7" s="13" t="s">
        <v>148</v>
      </c>
      <c r="AK7" s="13" t="s">
        <v>149</v>
      </c>
      <c r="AL7" s="13" t="s">
        <v>53</v>
      </c>
      <c r="AM7" s="13" t="s">
        <v>150</v>
      </c>
      <c r="AN7" s="13" t="s">
        <v>151</v>
      </c>
      <c r="AO7" s="13" t="s">
        <v>118</v>
      </c>
      <c r="AP7" s="13" t="s">
        <v>119</v>
      </c>
      <c r="AQ7" s="13" t="s">
        <v>152</v>
      </c>
      <c r="AR7" s="13" t="s">
        <v>153</v>
      </c>
    </row>
    <row r="8" customFormat="false" ht="18" hidden="false" customHeight="false" outlineLevel="0" collapsed="false">
      <c r="A8" s="6" t="s">
        <v>154</v>
      </c>
      <c r="B8" s="14" t="s">
        <v>85</v>
      </c>
      <c r="C8" s="8" t="s">
        <v>155</v>
      </c>
      <c r="D8" s="9" t="s">
        <v>102</v>
      </c>
      <c r="E8" s="10" t="n">
        <v>10496</v>
      </c>
      <c r="F8" s="10" t="n">
        <v>328</v>
      </c>
      <c r="G8" s="11" t="n">
        <v>51</v>
      </c>
      <c r="H8" s="11" t="n">
        <v>51</v>
      </c>
      <c r="I8" s="11" t="n">
        <v>204</v>
      </c>
      <c r="J8" s="11" t="n">
        <v>408</v>
      </c>
      <c r="K8" s="11" t="n">
        <v>102</v>
      </c>
      <c r="L8" s="11" t="n">
        <v>204</v>
      </c>
      <c r="M8" s="11" t="n">
        <v>0.8</v>
      </c>
      <c r="N8" s="11"/>
      <c r="O8" s="10" t="n">
        <v>816</v>
      </c>
      <c r="P8" s="10" t="n">
        <v>1600</v>
      </c>
      <c r="Q8" s="8" t="s">
        <v>48</v>
      </c>
      <c r="R8" s="10" t="n">
        <v>32</v>
      </c>
      <c r="S8" s="10" t="n">
        <v>896</v>
      </c>
      <c r="T8" s="11" t="n">
        <v>200</v>
      </c>
      <c r="U8" s="13" t="s">
        <v>156</v>
      </c>
      <c r="X8" s="13" t="s">
        <v>157</v>
      </c>
      <c r="Y8" s="13" t="s">
        <v>158</v>
      </c>
      <c r="Z8" s="13" t="s">
        <v>159</v>
      </c>
      <c r="AA8" s="13" t="s">
        <v>53</v>
      </c>
      <c r="AB8" s="13" t="s">
        <v>126</v>
      </c>
      <c r="AC8" s="13" t="s">
        <v>108</v>
      </c>
      <c r="AD8" s="13" t="s">
        <v>160</v>
      </c>
      <c r="AE8" s="13" t="s">
        <v>161</v>
      </c>
      <c r="AF8" s="13" t="s">
        <v>162</v>
      </c>
      <c r="AG8" s="13" t="s">
        <v>163</v>
      </c>
      <c r="AH8" s="13" t="s">
        <v>164</v>
      </c>
      <c r="AI8" s="13" t="s">
        <v>163</v>
      </c>
      <c r="AJ8" s="13" t="s">
        <v>165</v>
      </c>
      <c r="AK8" s="13" t="s">
        <v>166</v>
      </c>
      <c r="AL8" s="13" t="s">
        <v>53</v>
      </c>
      <c r="AM8" s="13" t="s">
        <v>167</v>
      </c>
      <c r="AN8" s="13" t="s">
        <v>168</v>
      </c>
      <c r="AO8" s="13" t="s">
        <v>118</v>
      </c>
      <c r="AP8" s="13" t="s">
        <v>169</v>
      </c>
      <c r="AQ8" s="13" t="s">
        <v>152</v>
      </c>
      <c r="AR8" s="13" t="s">
        <v>170</v>
      </c>
    </row>
    <row r="9" customFormat="false" ht="18" hidden="false" customHeight="false" outlineLevel="0" collapsed="false">
      <c r="A9" s="6" t="s">
        <v>171</v>
      </c>
      <c r="B9" s="14" t="s">
        <v>85</v>
      </c>
      <c r="C9" s="8" t="s">
        <v>155</v>
      </c>
      <c r="D9" s="9" t="s">
        <v>102</v>
      </c>
      <c r="E9" s="10" t="n">
        <v>8960</v>
      </c>
      <c r="F9" s="10" t="n">
        <v>280</v>
      </c>
      <c r="G9" s="11" t="n">
        <v>40</v>
      </c>
      <c r="H9" s="11" t="n">
        <v>40</v>
      </c>
      <c r="I9" s="11" t="n">
        <v>160</v>
      </c>
      <c r="J9" s="11" t="n">
        <v>320</v>
      </c>
      <c r="K9" s="11" t="n">
        <v>80</v>
      </c>
      <c r="L9" s="11" t="n">
        <v>160</v>
      </c>
      <c r="M9" s="11" t="n">
        <v>0.63</v>
      </c>
      <c r="N9" s="11"/>
      <c r="O9" s="10" t="n">
        <v>640</v>
      </c>
      <c r="P9" s="10" t="n">
        <v>1290</v>
      </c>
      <c r="Q9" s="8" t="s">
        <v>48</v>
      </c>
      <c r="R9" s="10" t="n">
        <v>24</v>
      </c>
      <c r="S9" s="10" t="n">
        <v>672</v>
      </c>
      <c r="T9" s="11" t="n">
        <v>145</v>
      </c>
      <c r="U9" s="13" t="s">
        <v>172</v>
      </c>
      <c r="X9" s="13" t="s">
        <v>157</v>
      </c>
      <c r="Y9" s="13" t="s">
        <v>173</v>
      </c>
      <c r="Z9" s="13" t="s">
        <v>174</v>
      </c>
      <c r="AA9" s="13" t="s">
        <v>53</v>
      </c>
      <c r="AB9" s="13" t="s">
        <v>175</v>
      </c>
      <c r="AC9" s="13" t="s">
        <v>108</v>
      </c>
      <c r="AD9" s="13" t="s">
        <v>176</v>
      </c>
      <c r="AE9" s="13" t="s">
        <v>177</v>
      </c>
      <c r="AF9" s="13" t="s">
        <v>178</v>
      </c>
      <c r="AG9" s="13" t="s">
        <v>179</v>
      </c>
      <c r="AH9" s="13" t="s">
        <v>180</v>
      </c>
      <c r="AI9" s="13" t="s">
        <v>179</v>
      </c>
      <c r="AJ9" s="13" t="s">
        <v>181</v>
      </c>
      <c r="AK9" s="13" t="s">
        <v>182</v>
      </c>
      <c r="AL9" s="13" t="s">
        <v>53</v>
      </c>
      <c r="AM9" s="13" t="s">
        <v>183</v>
      </c>
      <c r="AN9" s="13" t="s">
        <v>184</v>
      </c>
      <c r="AO9" s="13" t="s">
        <v>118</v>
      </c>
      <c r="AP9" s="13" t="s">
        <v>169</v>
      </c>
      <c r="AQ9" s="13" t="s">
        <v>185</v>
      </c>
      <c r="AR9" s="13" t="s">
        <v>186</v>
      </c>
    </row>
    <row r="10" customFormat="false" ht="18" hidden="false" customHeight="false" outlineLevel="0" collapsed="false">
      <c r="A10" s="6" t="s">
        <v>187</v>
      </c>
      <c r="B10" s="14" t="s">
        <v>85</v>
      </c>
      <c r="C10" s="8" t="s">
        <v>101</v>
      </c>
      <c r="D10" s="9" t="s">
        <v>188</v>
      </c>
      <c r="E10" s="10" t="n">
        <v>21760</v>
      </c>
      <c r="F10" s="10" t="n">
        <v>680</v>
      </c>
      <c r="G10" s="11" t="n">
        <v>104.8</v>
      </c>
      <c r="H10" s="11" t="n">
        <v>104.8</v>
      </c>
      <c r="I10" s="11" t="n">
        <v>419</v>
      </c>
      <c r="J10" s="11" t="n">
        <v>838</v>
      </c>
      <c r="K10" s="11" t="n">
        <v>209</v>
      </c>
      <c r="L10" s="11" t="n">
        <v>419</v>
      </c>
      <c r="M10" s="11" t="n">
        <v>1.64</v>
      </c>
      <c r="N10" s="11"/>
      <c r="O10" s="10" t="n">
        <v>1676</v>
      </c>
      <c r="P10" s="10" t="n">
        <v>3350</v>
      </c>
      <c r="Q10" s="8" t="s">
        <v>48</v>
      </c>
      <c r="R10" s="10" t="n">
        <v>32</v>
      </c>
      <c r="S10" s="10" t="n">
        <v>1792</v>
      </c>
      <c r="T10" s="11" t="n">
        <v>575</v>
      </c>
      <c r="U10" s="12" t="s">
        <v>189</v>
      </c>
      <c r="X10" s="13" t="s">
        <v>104</v>
      </c>
      <c r="Y10" s="13" t="s">
        <v>190</v>
      </c>
      <c r="Z10" s="13" t="s">
        <v>191</v>
      </c>
      <c r="AA10" s="13" t="s">
        <v>192</v>
      </c>
      <c r="AB10" s="13" t="s">
        <v>193</v>
      </c>
      <c r="AC10" s="13" t="s">
        <v>108</v>
      </c>
      <c r="AD10" s="13" t="s">
        <v>109</v>
      </c>
      <c r="AE10" s="13" t="s">
        <v>110</v>
      </c>
      <c r="AF10" s="13" t="s">
        <v>194</v>
      </c>
      <c r="AG10" s="13" t="s">
        <v>195</v>
      </c>
      <c r="AH10" s="13" t="s">
        <v>196</v>
      </c>
      <c r="AI10" s="13" t="s">
        <v>195</v>
      </c>
      <c r="AJ10" s="13" t="s">
        <v>197</v>
      </c>
      <c r="AK10" s="13" t="s">
        <v>198</v>
      </c>
      <c r="AL10" s="13" t="s">
        <v>53</v>
      </c>
      <c r="AM10" s="13" t="s">
        <v>199</v>
      </c>
      <c r="AN10" s="13" t="s">
        <v>200</v>
      </c>
      <c r="AO10" s="13" t="s">
        <v>118</v>
      </c>
      <c r="AP10" s="13" t="s">
        <v>119</v>
      </c>
      <c r="AQ10" s="13" t="s">
        <v>201</v>
      </c>
      <c r="AR10" s="13" t="s">
        <v>202</v>
      </c>
    </row>
    <row r="11" customFormat="false" ht="18" hidden="false" customHeight="false" outlineLevel="0" collapsed="false">
      <c r="A11" s="6" t="s">
        <v>203</v>
      </c>
      <c r="B11" s="14" t="s">
        <v>85</v>
      </c>
      <c r="C11" s="8" t="s">
        <v>101</v>
      </c>
      <c r="D11" s="9" t="s">
        <v>188</v>
      </c>
      <c r="E11" s="10" t="n">
        <v>21760</v>
      </c>
      <c r="F11" s="10" t="n">
        <v>680</v>
      </c>
      <c r="G11" s="11" t="n">
        <v>104.8</v>
      </c>
      <c r="H11" s="11" t="n">
        <v>104.8</v>
      </c>
      <c r="I11" s="11" t="n">
        <v>297</v>
      </c>
      <c r="J11" s="11" t="n">
        <v>595</v>
      </c>
      <c r="K11" s="11" t="n">
        <v>148</v>
      </c>
      <c r="L11" s="11" t="n">
        <v>297</v>
      </c>
      <c r="M11" s="11" t="n">
        <v>1.64</v>
      </c>
      <c r="N11" s="11"/>
      <c r="O11" s="10" t="n">
        <v>1190</v>
      </c>
      <c r="P11" s="10" t="n">
        <v>2380</v>
      </c>
      <c r="Q11" s="8" t="s">
        <v>48</v>
      </c>
      <c r="R11" s="10" t="n">
        <v>32</v>
      </c>
      <c r="S11" s="10" t="n">
        <v>1792</v>
      </c>
      <c r="T11" s="11" t="n">
        <v>575</v>
      </c>
      <c r="U11" s="12" t="s">
        <v>189</v>
      </c>
      <c r="X11" s="13" t="s">
        <v>104</v>
      </c>
      <c r="Y11" s="13" t="s">
        <v>190</v>
      </c>
      <c r="Z11" s="13" t="s">
        <v>191</v>
      </c>
      <c r="AA11" s="13" t="s">
        <v>192</v>
      </c>
      <c r="AB11" s="13" t="s">
        <v>193</v>
      </c>
      <c r="AC11" s="13" t="s">
        <v>108</v>
      </c>
      <c r="AD11" s="13" t="s">
        <v>109</v>
      </c>
      <c r="AE11" s="13" t="s">
        <v>110</v>
      </c>
      <c r="AF11" s="13" t="s">
        <v>194</v>
      </c>
      <c r="AG11" s="13" t="s">
        <v>195</v>
      </c>
      <c r="AH11" s="13" t="s">
        <v>204</v>
      </c>
      <c r="AI11" s="13" t="s">
        <v>195</v>
      </c>
      <c r="AJ11" s="13" t="s">
        <v>205</v>
      </c>
      <c r="AK11" s="13" t="s">
        <v>198</v>
      </c>
      <c r="AL11" s="13" t="s">
        <v>53</v>
      </c>
      <c r="AM11" s="13" t="s">
        <v>206</v>
      </c>
      <c r="AN11" s="13" t="s">
        <v>207</v>
      </c>
      <c r="AO11" s="13" t="s">
        <v>118</v>
      </c>
      <c r="AP11" s="13" t="s">
        <v>119</v>
      </c>
      <c r="AQ11" s="13" t="s">
        <v>201</v>
      </c>
      <c r="AR11" s="13" t="s">
        <v>202</v>
      </c>
    </row>
    <row r="12" customFormat="false" ht="18" hidden="false" customHeight="false" outlineLevel="0" collapsed="false">
      <c r="A12" s="6" t="s">
        <v>208</v>
      </c>
      <c r="B12" s="14" t="s">
        <v>85</v>
      </c>
      <c r="C12" s="8" t="s">
        <v>155</v>
      </c>
      <c r="D12" s="9" t="s">
        <v>188</v>
      </c>
      <c r="E12" s="10" t="n">
        <v>10752</v>
      </c>
      <c r="F12" s="10" t="n">
        <v>336</v>
      </c>
      <c r="G12" s="11" t="n">
        <v>56.3</v>
      </c>
      <c r="H12" s="11" t="n">
        <v>56.3</v>
      </c>
      <c r="I12" s="11" t="n">
        <v>225.4</v>
      </c>
      <c r="J12" s="11" t="n">
        <v>450.7</v>
      </c>
      <c r="K12" s="11" t="n">
        <v>112.7</v>
      </c>
      <c r="L12" s="11" t="n">
        <v>225.4</v>
      </c>
      <c r="M12" s="11" t="n">
        <v>0.88</v>
      </c>
      <c r="N12" s="11"/>
      <c r="O12" s="10" t="n">
        <v>901.4</v>
      </c>
      <c r="P12" s="10" t="n">
        <v>1800</v>
      </c>
      <c r="Q12" s="8" t="s">
        <v>48</v>
      </c>
      <c r="R12" s="10" t="n">
        <v>16</v>
      </c>
      <c r="S12" s="10" t="n">
        <v>960</v>
      </c>
      <c r="T12" s="11" t="n">
        <v>360</v>
      </c>
      <c r="U12" s="12" t="s">
        <v>209</v>
      </c>
      <c r="X12" s="13" t="s">
        <v>157</v>
      </c>
      <c r="Y12" s="13" t="s">
        <v>210</v>
      </c>
      <c r="Z12" s="13" t="s">
        <v>211</v>
      </c>
      <c r="AA12" s="13" t="s">
        <v>212</v>
      </c>
      <c r="AB12" s="13" t="s">
        <v>213</v>
      </c>
      <c r="AC12" s="13" t="s">
        <v>214</v>
      </c>
      <c r="AD12" s="13" t="s">
        <v>160</v>
      </c>
      <c r="AE12" s="13" t="s">
        <v>215</v>
      </c>
      <c r="AF12" s="13" t="s">
        <v>216</v>
      </c>
      <c r="AG12" s="13" t="s">
        <v>217</v>
      </c>
      <c r="AH12" s="13" t="s">
        <v>218</v>
      </c>
      <c r="AI12" s="13" t="s">
        <v>217</v>
      </c>
      <c r="AJ12" s="13" t="s">
        <v>219</v>
      </c>
      <c r="AK12" s="13" t="s">
        <v>220</v>
      </c>
      <c r="AL12" s="13" t="s">
        <v>53</v>
      </c>
      <c r="AM12" s="13" t="s">
        <v>221</v>
      </c>
      <c r="AN12" s="13" t="s">
        <v>222</v>
      </c>
      <c r="AO12" s="13" t="s">
        <v>223</v>
      </c>
      <c r="AP12" s="13" t="s">
        <v>224</v>
      </c>
      <c r="AQ12" s="13" t="s">
        <v>225</v>
      </c>
      <c r="AR12" s="13" t="s">
        <v>226</v>
      </c>
    </row>
    <row r="13" customFormat="false" ht="18" hidden="false" customHeight="false" outlineLevel="0" collapsed="false">
      <c r="A13" s="6" t="s">
        <v>227</v>
      </c>
      <c r="B13" s="14" t="s">
        <v>85</v>
      </c>
      <c r="C13" s="8" t="s">
        <v>155</v>
      </c>
      <c r="D13" s="9" t="s">
        <v>188</v>
      </c>
      <c r="E13" s="10" t="n">
        <v>8960</v>
      </c>
      <c r="F13" s="10" t="n">
        <v>280</v>
      </c>
      <c r="G13" s="11" t="n">
        <v>43.9</v>
      </c>
      <c r="H13" s="11" t="n">
        <v>43.9</v>
      </c>
      <c r="I13" s="11" t="n">
        <v>175.6</v>
      </c>
      <c r="J13" s="11" t="n">
        <v>351.3</v>
      </c>
      <c r="K13" s="11" t="n">
        <v>87.8</v>
      </c>
      <c r="L13" s="11" t="n">
        <v>175.6</v>
      </c>
      <c r="M13" s="11" t="n">
        <v>0.69</v>
      </c>
      <c r="N13" s="11"/>
      <c r="O13" s="10" t="n">
        <v>702.6</v>
      </c>
      <c r="P13" s="10" t="n">
        <v>1400</v>
      </c>
      <c r="Q13" s="8" t="s">
        <v>48</v>
      </c>
      <c r="R13" s="10" t="n">
        <v>16</v>
      </c>
      <c r="S13" s="10" t="n">
        <v>896</v>
      </c>
      <c r="T13" s="11" t="n">
        <v>300</v>
      </c>
      <c r="U13" s="12" t="s">
        <v>209</v>
      </c>
      <c r="X13" s="13" t="s">
        <v>157</v>
      </c>
      <c r="Y13" s="13" t="s">
        <v>173</v>
      </c>
      <c r="Z13" s="13" t="s">
        <v>174</v>
      </c>
      <c r="AA13" s="13" t="s">
        <v>212</v>
      </c>
      <c r="AB13" s="13" t="s">
        <v>228</v>
      </c>
      <c r="AC13" s="13" t="s">
        <v>229</v>
      </c>
      <c r="AD13" s="13" t="s">
        <v>160</v>
      </c>
      <c r="AE13" s="13" t="s">
        <v>161</v>
      </c>
      <c r="AF13" s="13" t="s">
        <v>216</v>
      </c>
      <c r="AG13" s="13" t="s">
        <v>230</v>
      </c>
      <c r="AH13" s="13" t="s">
        <v>231</v>
      </c>
      <c r="AI13" s="13" t="s">
        <v>230</v>
      </c>
      <c r="AJ13" s="13" t="s">
        <v>232</v>
      </c>
      <c r="AK13" s="13" t="s">
        <v>233</v>
      </c>
      <c r="AL13" s="13" t="s">
        <v>53</v>
      </c>
      <c r="AM13" s="13" t="s">
        <v>234</v>
      </c>
      <c r="AN13" s="13" t="s">
        <v>235</v>
      </c>
      <c r="AO13" s="13" t="s">
        <v>223</v>
      </c>
      <c r="AP13" s="13" t="s">
        <v>224</v>
      </c>
      <c r="AQ13" s="13" t="s">
        <v>236</v>
      </c>
      <c r="AR13" s="13" t="s">
        <v>153</v>
      </c>
    </row>
    <row r="14" customFormat="false" ht="18" hidden="false" customHeight="false" outlineLevel="0" collapsed="false">
      <c r="A14" s="6" t="s">
        <v>237</v>
      </c>
      <c r="B14" s="15" t="s">
        <v>238</v>
      </c>
      <c r="C14" s="8" t="s">
        <v>239</v>
      </c>
      <c r="D14" s="9" t="s">
        <v>47</v>
      </c>
      <c r="E14" s="10" t="n">
        <v>16896</v>
      </c>
      <c r="F14" s="10" t="n">
        <v>528</v>
      </c>
      <c r="G14" s="11" t="n">
        <v>67</v>
      </c>
      <c r="H14" s="11" t="n">
        <v>267.6</v>
      </c>
      <c r="I14" s="11" t="n">
        <v>989</v>
      </c>
      <c r="J14" s="11" t="n">
        <v>1979</v>
      </c>
      <c r="K14" s="11" t="n">
        <v>494</v>
      </c>
      <c r="L14" s="11" t="n">
        <v>989</v>
      </c>
      <c r="M14" s="11" t="n">
        <v>34</v>
      </c>
      <c r="N14" s="11" t="n">
        <v>67</v>
      </c>
      <c r="O14" s="10" t="n">
        <v>3958</v>
      </c>
      <c r="P14" s="10" t="n">
        <v>3958</v>
      </c>
      <c r="Q14" s="8" t="s">
        <v>240</v>
      </c>
      <c r="R14" s="10" t="n">
        <v>141</v>
      </c>
      <c r="S14" s="10" t="n">
        <v>4800</v>
      </c>
      <c r="T14" s="11" t="n">
        <v>700</v>
      </c>
      <c r="U14" s="12" t="s">
        <v>241</v>
      </c>
      <c r="X14" s="13" t="s">
        <v>242</v>
      </c>
      <c r="Y14" s="13" t="s">
        <v>71</v>
      </c>
      <c r="Z14" s="13" t="s">
        <v>72</v>
      </c>
      <c r="AA14" s="13" t="s">
        <v>243</v>
      </c>
      <c r="AB14" s="13" t="s">
        <v>244</v>
      </c>
      <c r="AC14" s="13" t="s">
        <v>245</v>
      </c>
      <c r="AD14" s="13" t="s">
        <v>246</v>
      </c>
      <c r="AE14" s="13" t="s">
        <v>247</v>
      </c>
      <c r="AF14" s="13" t="s">
        <v>248</v>
      </c>
      <c r="AG14" s="13" t="s">
        <v>249</v>
      </c>
      <c r="AH14" s="13" t="s">
        <v>250</v>
      </c>
      <c r="AI14" s="13" t="s">
        <v>251</v>
      </c>
      <c r="AJ14" s="13" t="s">
        <v>252</v>
      </c>
      <c r="AK14" s="13" t="s">
        <v>253</v>
      </c>
      <c r="AL14" s="13" t="s">
        <v>251</v>
      </c>
      <c r="AM14" s="13" t="s">
        <v>254</v>
      </c>
      <c r="AN14" s="13" t="s">
        <v>255</v>
      </c>
      <c r="AO14" s="13" t="s">
        <v>256</v>
      </c>
      <c r="AP14" s="13" t="s">
        <v>257</v>
      </c>
      <c r="AQ14" s="13" t="s">
        <v>98</v>
      </c>
      <c r="AR14" s="13" t="s">
        <v>258</v>
      </c>
    </row>
    <row r="15" customFormat="false" ht="18" hidden="false" customHeight="false" outlineLevel="0" collapsed="false">
      <c r="A15" s="6" t="s">
        <v>259</v>
      </c>
      <c r="B15" s="15" t="s">
        <v>238</v>
      </c>
      <c r="C15" s="8" t="s">
        <v>239</v>
      </c>
      <c r="D15" s="9" t="s">
        <v>47</v>
      </c>
      <c r="E15" s="10" t="n">
        <v>16896</v>
      </c>
      <c r="F15" s="10" t="n">
        <v>528</v>
      </c>
      <c r="G15" s="11" t="n">
        <v>60</v>
      </c>
      <c r="H15" s="11" t="n">
        <v>240</v>
      </c>
      <c r="I15" s="11" t="n">
        <v>835</v>
      </c>
      <c r="J15" s="11" t="n">
        <v>1671</v>
      </c>
      <c r="K15" s="11" t="n">
        <v>418</v>
      </c>
      <c r="L15" s="11" t="n">
        <v>835</v>
      </c>
      <c r="M15" s="11" t="n">
        <v>30</v>
      </c>
      <c r="N15" s="11" t="n">
        <v>60</v>
      </c>
      <c r="O15" s="10" t="n">
        <v>3341</v>
      </c>
      <c r="P15" s="10" t="n">
        <v>3341</v>
      </c>
      <c r="Q15" s="8" t="s">
        <v>240</v>
      </c>
      <c r="R15" s="10" t="n">
        <v>141</v>
      </c>
      <c r="S15" s="10" t="n">
        <v>4800</v>
      </c>
      <c r="T15" s="11" t="n">
        <v>600</v>
      </c>
      <c r="U15" s="13" t="s">
        <v>260</v>
      </c>
      <c r="X15" s="13" t="s">
        <v>242</v>
      </c>
      <c r="Y15" s="13" t="s">
        <v>71</v>
      </c>
      <c r="Z15" s="13" t="s">
        <v>72</v>
      </c>
      <c r="AA15" s="13" t="s">
        <v>53</v>
      </c>
      <c r="AB15" s="13" t="s">
        <v>53</v>
      </c>
      <c r="AC15" s="13" t="s">
        <v>54</v>
      </c>
      <c r="AD15" s="13" t="s">
        <v>246</v>
      </c>
      <c r="AE15" s="13" t="s">
        <v>261</v>
      </c>
      <c r="AF15" s="13" t="s">
        <v>262</v>
      </c>
      <c r="AG15" s="13" t="s">
        <v>263</v>
      </c>
      <c r="AH15" s="13" t="s">
        <v>264</v>
      </c>
      <c r="AI15" s="13" t="s">
        <v>265</v>
      </c>
      <c r="AJ15" s="13" t="s">
        <v>266</v>
      </c>
      <c r="AK15" s="13" t="s">
        <v>267</v>
      </c>
      <c r="AL15" s="13" t="s">
        <v>265</v>
      </c>
      <c r="AM15" s="13" t="s">
        <v>268</v>
      </c>
      <c r="AN15" s="13" t="s">
        <v>269</v>
      </c>
      <c r="AO15" s="13" t="s">
        <v>270</v>
      </c>
      <c r="AP15" s="13" t="s">
        <v>271</v>
      </c>
      <c r="AQ15" s="13" t="s">
        <v>272</v>
      </c>
      <c r="AR15" s="13" t="s">
        <v>273</v>
      </c>
    </row>
    <row r="16" customFormat="false" ht="18" hidden="false" customHeight="false" outlineLevel="0" collapsed="false">
      <c r="A16" s="6" t="s">
        <v>274</v>
      </c>
      <c r="B16" s="15" t="s">
        <v>238</v>
      </c>
      <c r="C16" s="8" t="s">
        <v>239</v>
      </c>
      <c r="D16" s="9" t="s">
        <v>47</v>
      </c>
      <c r="E16" s="10" t="n">
        <v>16896</v>
      </c>
      <c r="F16" s="10" t="n">
        <v>528</v>
      </c>
      <c r="G16" s="11" t="n">
        <v>67</v>
      </c>
      <c r="H16" s="11" t="n">
        <v>267.6</v>
      </c>
      <c r="I16" s="11" t="n">
        <v>989</v>
      </c>
      <c r="J16" s="11" t="n">
        <v>1979</v>
      </c>
      <c r="K16" s="11" t="n">
        <v>494</v>
      </c>
      <c r="L16" s="11" t="n">
        <v>989</v>
      </c>
      <c r="M16" s="11" t="n">
        <v>34</v>
      </c>
      <c r="N16" s="11" t="n">
        <v>67</v>
      </c>
      <c r="O16" s="10" t="n">
        <v>3958</v>
      </c>
      <c r="P16" s="10" t="n">
        <v>3958</v>
      </c>
      <c r="Q16" s="8" t="s">
        <v>240</v>
      </c>
      <c r="R16" s="10" t="n">
        <v>80</v>
      </c>
      <c r="S16" s="10" t="n">
        <v>3350</v>
      </c>
      <c r="T16" s="11" t="n">
        <v>700</v>
      </c>
      <c r="U16" s="13" t="s">
        <v>275</v>
      </c>
      <c r="X16" s="13" t="s">
        <v>242</v>
      </c>
      <c r="Y16" s="13" t="s">
        <v>71</v>
      </c>
      <c r="Z16" s="13" t="s">
        <v>72</v>
      </c>
      <c r="AA16" s="13" t="s">
        <v>243</v>
      </c>
      <c r="AB16" s="13" t="s">
        <v>244</v>
      </c>
      <c r="AC16" s="13" t="s">
        <v>276</v>
      </c>
      <c r="AD16" s="13" t="s">
        <v>277</v>
      </c>
      <c r="AE16" s="13" t="s">
        <v>278</v>
      </c>
      <c r="AF16" s="13" t="s">
        <v>279</v>
      </c>
      <c r="AG16" s="13" t="s">
        <v>249</v>
      </c>
      <c r="AH16" s="13" t="s">
        <v>250</v>
      </c>
      <c r="AI16" s="13" t="s">
        <v>251</v>
      </c>
      <c r="AJ16" s="13" t="s">
        <v>252</v>
      </c>
      <c r="AK16" s="13" t="s">
        <v>253</v>
      </c>
      <c r="AL16" s="13" t="s">
        <v>251</v>
      </c>
      <c r="AM16" s="13" t="s">
        <v>254</v>
      </c>
      <c r="AN16" s="13" t="s">
        <v>255</v>
      </c>
      <c r="AO16" s="13" t="s">
        <v>280</v>
      </c>
      <c r="AP16" s="13" t="s">
        <v>281</v>
      </c>
      <c r="AQ16" s="13" t="s">
        <v>98</v>
      </c>
      <c r="AR16" s="13" t="s">
        <v>258</v>
      </c>
    </row>
    <row r="17" customFormat="false" ht="18" hidden="false" customHeight="false" outlineLevel="0" collapsed="false">
      <c r="A17" s="6" t="s">
        <v>282</v>
      </c>
      <c r="B17" s="15" t="s">
        <v>238</v>
      </c>
      <c r="C17" s="8" t="s">
        <v>239</v>
      </c>
      <c r="D17" s="9" t="s">
        <v>47</v>
      </c>
      <c r="E17" s="10" t="n">
        <v>16896</v>
      </c>
      <c r="F17" s="10" t="n">
        <v>528</v>
      </c>
      <c r="G17" s="11" t="n">
        <v>67</v>
      </c>
      <c r="H17" s="11" t="n">
        <v>267.6</v>
      </c>
      <c r="I17" s="11" t="n">
        <v>989</v>
      </c>
      <c r="J17" s="11" t="n">
        <v>1979</v>
      </c>
      <c r="K17" s="11" t="n">
        <v>494</v>
      </c>
      <c r="L17" s="11" t="n">
        <v>989</v>
      </c>
      <c r="M17" s="11" t="n">
        <v>34</v>
      </c>
      <c r="N17" s="11" t="n">
        <v>67</v>
      </c>
      <c r="O17" s="10" t="n">
        <v>3958</v>
      </c>
      <c r="P17" s="10" t="n">
        <v>3958</v>
      </c>
      <c r="Q17" s="8" t="s">
        <v>240</v>
      </c>
      <c r="R17" s="10" t="n">
        <v>80</v>
      </c>
      <c r="S17" s="10" t="n">
        <v>3350</v>
      </c>
      <c r="T17" s="11" t="n">
        <v>700</v>
      </c>
      <c r="U17" s="12" t="s">
        <v>283</v>
      </c>
      <c r="X17" s="13" t="s">
        <v>242</v>
      </c>
      <c r="Y17" s="13" t="s">
        <v>71</v>
      </c>
      <c r="Z17" s="13" t="s">
        <v>72</v>
      </c>
      <c r="AA17" s="13" t="s">
        <v>243</v>
      </c>
      <c r="AB17" s="13" t="s">
        <v>244</v>
      </c>
      <c r="AC17" s="13" t="s">
        <v>276</v>
      </c>
      <c r="AD17" s="13" t="s">
        <v>277</v>
      </c>
      <c r="AE17" s="13" t="s">
        <v>278</v>
      </c>
      <c r="AF17" s="13" t="s">
        <v>284</v>
      </c>
      <c r="AG17" s="13" t="s">
        <v>249</v>
      </c>
      <c r="AH17" s="13" t="s">
        <v>250</v>
      </c>
      <c r="AI17" s="13" t="s">
        <v>251</v>
      </c>
      <c r="AJ17" s="13" t="s">
        <v>252</v>
      </c>
      <c r="AK17" s="13" t="s">
        <v>253</v>
      </c>
      <c r="AL17" s="13" t="s">
        <v>251</v>
      </c>
      <c r="AM17" s="13" t="s">
        <v>254</v>
      </c>
      <c r="AN17" s="13" t="s">
        <v>255</v>
      </c>
      <c r="AO17" s="13" t="s">
        <v>285</v>
      </c>
      <c r="AP17" s="13" t="s">
        <v>281</v>
      </c>
      <c r="AQ17" s="13" t="s">
        <v>98</v>
      </c>
      <c r="AR17" s="13" t="s">
        <v>258</v>
      </c>
    </row>
    <row r="18" customFormat="false" ht="18" hidden="false" customHeight="false" outlineLevel="0" collapsed="false">
      <c r="A18" s="6" t="s">
        <v>286</v>
      </c>
      <c r="B18" s="15" t="s">
        <v>238</v>
      </c>
      <c r="C18" s="8" t="s">
        <v>239</v>
      </c>
      <c r="D18" s="9" t="s">
        <v>47</v>
      </c>
      <c r="E18" s="10" t="n">
        <v>14592</v>
      </c>
      <c r="F18" s="10" t="n">
        <v>456</v>
      </c>
      <c r="G18" s="11" t="n">
        <v>51</v>
      </c>
      <c r="H18" s="11" t="n">
        <v>204</v>
      </c>
      <c r="I18" s="11" t="n">
        <v>756</v>
      </c>
      <c r="J18" s="11" t="n">
        <v>1513</v>
      </c>
      <c r="K18" s="11" t="n">
        <v>378</v>
      </c>
      <c r="L18" s="11" t="n">
        <v>756</v>
      </c>
      <c r="M18" s="11" t="n">
        <v>26</v>
      </c>
      <c r="N18" s="11" t="n">
        <v>51</v>
      </c>
      <c r="O18" s="10" t="n">
        <v>3026</v>
      </c>
      <c r="P18" s="10" t="n">
        <v>3026</v>
      </c>
      <c r="Q18" s="8" t="s">
        <v>240</v>
      </c>
      <c r="R18" s="10" t="n">
        <v>80</v>
      </c>
      <c r="S18" s="10" t="n">
        <v>2000</v>
      </c>
      <c r="T18" s="11" t="n">
        <v>350</v>
      </c>
      <c r="U18" s="13" t="s">
        <v>275</v>
      </c>
      <c r="X18" s="13" t="s">
        <v>242</v>
      </c>
      <c r="Y18" s="13" t="s">
        <v>287</v>
      </c>
      <c r="Z18" s="13" t="s">
        <v>288</v>
      </c>
      <c r="AA18" s="13" t="s">
        <v>289</v>
      </c>
      <c r="AB18" s="13" t="s">
        <v>290</v>
      </c>
      <c r="AC18" s="13" t="s">
        <v>291</v>
      </c>
      <c r="AD18" s="13" t="s">
        <v>277</v>
      </c>
      <c r="AE18" s="13" t="s">
        <v>292</v>
      </c>
      <c r="AF18" s="13" t="s">
        <v>279</v>
      </c>
      <c r="AG18" s="13" t="s">
        <v>293</v>
      </c>
      <c r="AH18" s="13" t="s">
        <v>294</v>
      </c>
      <c r="AI18" s="13" t="s">
        <v>163</v>
      </c>
      <c r="AJ18" s="13" t="s">
        <v>295</v>
      </c>
      <c r="AK18" s="13" t="s">
        <v>296</v>
      </c>
      <c r="AL18" s="13" t="s">
        <v>163</v>
      </c>
      <c r="AM18" s="13" t="s">
        <v>297</v>
      </c>
      <c r="AN18" s="13" t="s">
        <v>298</v>
      </c>
      <c r="AO18" s="13" t="s">
        <v>299</v>
      </c>
      <c r="AP18" s="13" t="s">
        <v>281</v>
      </c>
      <c r="AQ18" s="13" t="s">
        <v>300</v>
      </c>
      <c r="AR18" s="13" t="s">
        <v>301</v>
      </c>
    </row>
    <row r="19" customFormat="false" ht="18" hidden="false" customHeight="false" outlineLevel="0" collapsed="false">
      <c r="A19" s="6" t="s">
        <v>302</v>
      </c>
      <c r="B19" s="15" t="s">
        <v>238</v>
      </c>
      <c r="C19" s="8" t="s">
        <v>239</v>
      </c>
      <c r="D19" s="9" t="s">
        <v>47</v>
      </c>
      <c r="E19" s="10" t="n">
        <v>14592</v>
      </c>
      <c r="F19" s="10" t="n">
        <v>456</v>
      </c>
      <c r="G19" s="11" t="n">
        <v>51</v>
      </c>
      <c r="H19" s="11" t="n">
        <v>204</v>
      </c>
      <c r="I19" s="11" t="n">
        <v>756</v>
      </c>
      <c r="J19" s="11" t="n">
        <v>1513</v>
      </c>
      <c r="K19" s="11" t="n">
        <v>378</v>
      </c>
      <c r="L19" s="11" t="n">
        <v>756</v>
      </c>
      <c r="M19" s="11" t="n">
        <v>26</v>
      </c>
      <c r="N19" s="11" t="n">
        <v>51</v>
      </c>
      <c r="O19" s="10" t="n">
        <v>3026</v>
      </c>
      <c r="P19" s="10" t="n">
        <v>3026</v>
      </c>
      <c r="Q19" s="8" t="s">
        <v>240</v>
      </c>
      <c r="R19" s="10" t="n">
        <v>80</v>
      </c>
      <c r="S19" s="10" t="n">
        <v>2000</v>
      </c>
      <c r="T19" s="11" t="n">
        <v>350</v>
      </c>
      <c r="U19" s="12" t="s">
        <v>283</v>
      </c>
      <c r="X19" s="13" t="s">
        <v>242</v>
      </c>
      <c r="Y19" s="13" t="s">
        <v>287</v>
      </c>
      <c r="Z19" s="13" t="s">
        <v>288</v>
      </c>
      <c r="AA19" s="13" t="s">
        <v>289</v>
      </c>
      <c r="AB19" s="13" t="s">
        <v>290</v>
      </c>
      <c r="AC19" s="13" t="s">
        <v>291</v>
      </c>
      <c r="AD19" s="13" t="s">
        <v>277</v>
      </c>
      <c r="AE19" s="13" t="s">
        <v>292</v>
      </c>
      <c r="AF19" s="13" t="s">
        <v>284</v>
      </c>
      <c r="AG19" s="13" t="s">
        <v>293</v>
      </c>
      <c r="AH19" s="13" t="s">
        <v>294</v>
      </c>
      <c r="AI19" s="13" t="s">
        <v>163</v>
      </c>
      <c r="AJ19" s="13" t="s">
        <v>295</v>
      </c>
      <c r="AK19" s="13" t="s">
        <v>296</v>
      </c>
      <c r="AL19" s="13" t="s">
        <v>163</v>
      </c>
      <c r="AM19" s="13" t="s">
        <v>297</v>
      </c>
      <c r="AN19" s="13" t="s">
        <v>298</v>
      </c>
      <c r="AO19" s="13" t="s">
        <v>285</v>
      </c>
      <c r="AP19" s="13" t="s">
        <v>281</v>
      </c>
      <c r="AQ19" s="13" t="s">
        <v>303</v>
      </c>
      <c r="AR19" s="13" t="s">
        <v>304</v>
      </c>
    </row>
    <row r="20" customFormat="false" ht="18" hidden="false" customHeight="false" outlineLevel="0" collapsed="false">
      <c r="A20" s="6" t="s">
        <v>305</v>
      </c>
      <c r="B20" s="15" t="s">
        <v>238</v>
      </c>
      <c r="C20" s="8" t="s">
        <v>239</v>
      </c>
      <c r="D20" s="9" t="s">
        <v>47</v>
      </c>
      <c r="E20" s="10" t="n">
        <v>9984</v>
      </c>
      <c r="F20" s="10" t="n">
        <v>312</v>
      </c>
      <c r="G20" s="11" t="n">
        <v>44</v>
      </c>
      <c r="H20" s="11" t="n">
        <v>176</v>
      </c>
      <c r="I20" s="11" t="n">
        <v>148</v>
      </c>
      <c r="J20" s="11" t="n">
        <v>296</v>
      </c>
      <c r="K20" s="11" t="n">
        <v>74</v>
      </c>
      <c r="L20" s="11" t="n">
        <v>148</v>
      </c>
      <c r="M20" s="11" t="n">
        <v>1</v>
      </c>
      <c r="N20" s="11" t="n">
        <v>1</v>
      </c>
      <c r="O20" s="10" t="n">
        <v>592</v>
      </c>
      <c r="P20" s="10" t="n">
        <v>592</v>
      </c>
      <c r="Q20" s="8" t="s">
        <v>240</v>
      </c>
      <c r="R20" s="10" t="n">
        <v>96</v>
      </c>
      <c r="S20" s="10" t="n">
        <v>4000</v>
      </c>
      <c r="T20" s="11" t="n">
        <v>400</v>
      </c>
      <c r="U20" s="13" t="s">
        <v>306</v>
      </c>
      <c r="X20" s="13" t="s">
        <v>242</v>
      </c>
      <c r="Y20" s="13" t="s">
        <v>307</v>
      </c>
      <c r="Z20" s="13" t="s">
        <v>308</v>
      </c>
      <c r="AA20" s="13" t="s">
        <v>53</v>
      </c>
      <c r="AB20" s="13" t="s">
        <v>53</v>
      </c>
      <c r="AC20" s="13" t="s">
        <v>309</v>
      </c>
      <c r="AD20" s="13" t="s">
        <v>246</v>
      </c>
      <c r="AE20" s="13" t="s">
        <v>310</v>
      </c>
      <c r="AF20" s="13" t="s">
        <v>311</v>
      </c>
      <c r="AG20" s="13" t="s">
        <v>312</v>
      </c>
      <c r="AH20" s="13" t="s">
        <v>313</v>
      </c>
      <c r="AI20" s="13" t="s">
        <v>314</v>
      </c>
      <c r="AJ20" s="13" t="s">
        <v>315</v>
      </c>
      <c r="AK20" s="13" t="s">
        <v>316</v>
      </c>
      <c r="AL20" s="13" t="s">
        <v>316</v>
      </c>
      <c r="AM20" s="13" t="s">
        <v>317</v>
      </c>
      <c r="AN20" s="13" t="s">
        <v>318</v>
      </c>
      <c r="AO20" s="13" t="s">
        <v>319</v>
      </c>
      <c r="AP20" s="13" t="s">
        <v>271</v>
      </c>
      <c r="AQ20" s="13" t="s">
        <v>98</v>
      </c>
      <c r="AR20" s="13" t="s">
        <v>320</v>
      </c>
    </row>
    <row r="21" customFormat="false" ht="18" hidden="false" customHeight="false" outlineLevel="0" collapsed="false">
      <c r="A21" s="6" t="s">
        <v>321</v>
      </c>
      <c r="B21" s="16" t="s">
        <v>322</v>
      </c>
      <c r="C21" s="8" t="s">
        <v>323</v>
      </c>
      <c r="D21" s="9" t="s">
        <v>47</v>
      </c>
      <c r="E21" s="10" t="n">
        <v>18176</v>
      </c>
      <c r="F21" s="10" t="n">
        <v>568</v>
      </c>
      <c r="G21" s="11" t="n">
        <v>91.61</v>
      </c>
      <c r="H21" s="11" t="n">
        <v>91.6</v>
      </c>
      <c r="I21" s="11" t="n">
        <v>362.05</v>
      </c>
      <c r="J21" s="11" t="n">
        <v>733</v>
      </c>
      <c r="K21" s="11" t="n">
        <v>183</v>
      </c>
      <c r="L21" s="11" t="n">
        <v>366</v>
      </c>
      <c r="M21" s="11" t="n">
        <v>1.4</v>
      </c>
      <c r="N21" s="11"/>
      <c r="O21" s="10" t="n">
        <v>1466</v>
      </c>
      <c r="P21" s="10" t="n">
        <v>1466</v>
      </c>
      <c r="Q21" s="8" t="s">
        <v>240</v>
      </c>
      <c r="R21" s="10" t="n">
        <v>48</v>
      </c>
      <c r="S21" s="10" t="n">
        <v>864</v>
      </c>
      <c r="T21" s="11" t="n">
        <v>350</v>
      </c>
      <c r="U21" s="12" t="s">
        <v>324</v>
      </c>
      <c r="X21" s="13" t="s">
        <v>325</v>
      </c>
      <c r="Y21" s="13" t="s">
        <v>326</v>
      </c>
      <c r="Z21" s="13" t="s">
        <v>327</v>
      </c>
      <c r="AA21" s="13" t="s">
        <v>328</v>
      </c>
      <c r="AB21" s="13" t="s">
        <v>329</v>
      </c>
      <c r="AC21" s="13" t="s">
        <v>330</v>
      </c>
      <c r="AD21" s="13" t="s">
        <v>331</v>
      </c>
      <c r="AE21" s="13" t="s">
        <v>332</v>
      </c>
      <c r="AF21" s="13" t="s">
        <v>333</v>
      </c>
      <c r="AG21" s="13" t="s">
        <v>334</v>
      </c>
      <c r="AH21" s="13" t="s">
        <v>335</v>
      </c>
      <c r="AI21" s="13" t="s">
        <v>336</v>
      </c>
      <c r="AJ21" s="13" t="s">
        <v>337</v>
      </c>
      <c r="AK21" s="13" t="s">
        <v>338</v>
      </c>
      <c r="AL21" s="13" t="s">
        <v>53</v>
      </c>
      <c r="AM21" s="13" t="s">
        <v>339</v>
      </c>
      <c r="AN21" s="13" t="s">
        <v>340</v>
      </c>
      <c r="AO21" s="13" t="s">
        <v>341</v>
      </c>
      <c r="AP21" s="13" t="s">
        <v>342</v>
      </c>
      <c r="AQ21" s="13" t="s">
        <v>343</v>
      </c>
      <c r="AR21" s="13" t="s">
        <v>301</v>
      </c>
    </row>
    <row r="22" customFormat="false" ht="18" hidden="false" customHeight="false" outlineLevel="0" collapsed="false">
      <c r="A22" s="6" t="s">
        <v>344</v>
      </c>
      <c r="B22" s="16" t="s">
        <v>322</v>
      </c>
      <c r="C22" s="8" t="s">
        <v>323</v>
      </c>
      <c r="D22" s="9" t="s">
        <v>47</v>
      </c>
      <c r="E22" s="10" t="n">
        <v>18176</v>
      </c>
      <c r="F22" s="10" t="n">
        <v>568</v>
      </c>
      <c r="G22" s="11" t="n">
        <v>90.52</v>
      </c>
      <c r="H22" s="11" t="n">
        <v>90.5</v>
      </c>
      <c r="I22" s="11" t="n">
        <v>181</v>
      </c>
      <c r="J22" s="11" t="n">
        <v>362</v>
      </c>
      <c r="K22" s="11" t="n">
        <v>90.5</v>
      </c>
      <c r="L22" s="11" t="n">
        <v>181</v>
      </c>
      <c r="M22" s="11" t="n">
        <v>1.4</v>
      </c>
      <c r="N22" s="11"/>
      <c r="O22" s="10" t="n">
        <v>724</v>
      </c>
      <c r="P22" s="10" t="n">
        <v>724</v>
      </c>
      <c r="Q22" s="8" t="s">
        <v>240</v>
      </c>
      <c r="R22" s="10" t="n">
        <v>48</v>
      </c>
      <c r="S22" s="10" t="n">
        <v>864</v>
      </c>
      <c r="T22" s="11" t="n">
        <v>300</v>
      </c>
      <c r="U22" s="12" t="s">
        <v>345</v>
      </c>
      <c r="X22" s="13" t="s">
        <v>325</v>
      </c>
      <c r="Y22" s="13" t="s">
        <v>326</v>
      </c>
      <c r="Z22" s="13" t="s">
        <v>327</v>
      </c>
      <c r="AA22" s="13" t="s">
        <v>346</v>
      </c>
      <c r="AB22" s="13" t="s">
        <v>347</v>
      </c>
      <c r="AC22" s="13" t="s">
        <v>330</v>
      </c>
      <c r="AD22" s="13" t="s">
        <v>331</v>
      </c>
      <c r="AE22" s="13" t="s">
        <v>348</v>
      </c>
      <c r="AF22" s="13" t="s">
        <v>349</v>
      </c>
      <c r="AG22" s="13" t="s">
        <v>350</v>
      </c>
      <c r="AH22" s="13" t="s">
        <v>351</v>
      </c>
      <c r="AI22" s="13" t="s">
        <v>352</v>
      </c>
      <c r="AJ22" s="13" t="s">
        <v>353</v>
      </c>
      <c r="AK22" s="13" t="s">
        <v>338</v>
      </c>
      <c r="AL22" s="13" t="s">
        <v>53</v>
      </c>
      <c r="AM22" s="13" t="s">
        <v>354</v>
      </c>
      <c r="AN22" s="13" t="s">
        <v>355</v>
      </c>
      <c r="AO22" s="13" t="s">
        <v>341</v>
      </c>
      <c r="AP22" s="13" t="s">
        <v>342</v>
      </c>
      <c r="AQ22" s="13" t="s">
        <v>343</v>
      </c>
      <c r="AR22" s="13" t="s">
        <v>153</v>
      </c>
    </row>
    <row r="23" customFormat="false" ht="18" hidden="false" customHeight="false" outlineLevel="0" collapsed="false">
      <c r="A23" s="6" t="s">
        <v>356</v>
      </c>
      <c r="B23" s="16" t="s">
        <v>322</v>
      </c>
      <c r="C23" s="8" t="s">
        <v>323</v>
      </c>
      <c r="D23" s="9" t="s">
        <v>47</v>
      </c>
      <c r="E23" s="10" t="n">
        <v>11776</v>
      </c>
      <c r="F23" s="10" t="n">
        <v>368</v>
      </c>
      <c r="G23" s="11" t="n">
        <v>59.8</v>
      </c>
      <c r="H23" s="11" t="n">
        <v>59.8</v>
      </c>
      <c r="I23" s="11" t="n">
        <v>119.5</v>
      </c>
      <c r="J23" s="11" t="n">
        <v>239</v>
      </c>
      <c r="K23" s="11" t="n">
        <v>59.8</v>
      </c>
      <c r="L23" s="11" t="n">
        <v>119.5</v>
      </c>
      <c r="M23" s="11" t="n">
        <v>0.93</v>
      </c>
      <c r="N23" s="11"/>
      <c r="O23" s="10" t="n">
        <v>478</v>
      </c>
      <c r="P23" s="10" t="n">
        <v>478</v>
      </c>
      <c r="Q23" s="8" t="s">
        <v>240</v>
      </c>
      <c r="R23" s="10" t="n">
        <v>48</v>
      </c>
      <c r="S23" s="10" t="n">
        <v>864</v>
      </c>
      <c r="T23" s="11" t="n">
        <v>275</v>
      </c>
      <c r="U23" s="12" t="s">
        <v>357</v>
      </c>
      <c r="X23" s="13" t="s">
        <v>325</v>
      </c>
      <c r="Y23" s="13" t="s">
        <v>358</v>
      </c>
      <c r="Z23" s="13" t="s">
        <v>359</v>
      </c>
      <c r="AA23" s="13" t="s">
        <v>360</v>
      </c>
      <c r="AB23" s="13" t="s">
        <v>329</v>
      </c>
      <c r="AC23" s="13" t="s">
        <v>361</v>
      </c>
      <c r="AD23" s="13" t="s">
        <v>362</v>
      </c>
      <c r="AE23" s="13" t="s">
        <v>363</v>
      </c>
      <c r="AF23" s="13" t="s">
        <v>364</v>
      </c>
      <c r="AG23" s="13" t="s">
        <v>365</v>
      </c>
      <c r="AH23" s="13" t="s">
        <v>366</v>
      </c>
      <c r="AI23" s="13" t="s">
        <v>365</v>
      </c>
      <c r="AJ23" s="13" t="s">
        <v>367</v>
      </c>
      <c r="AK23" s="13" t="s">
        <v>368</v>
      </c>
      <c r="AL23" s="13" t="s">
        <v>53</v>
      </c>
      <c r="AM23" s="13" t="s">
        <v>369</v>
      </c>
      <c r="AN23" s="13" t="s">
        <v>370</v>
      </c>
      <c r="AO23" s="13" t="s">
        <v>371</v>
      </c>
      <c r="AP23" s="13" t="s">
        <v>372</v>
      </c>
      <c r="AQ23" s="13" t="s">
        <v>373</v>
      </c>
      <c r="AR23" s="13" t="s">
        <v>374</v>
      </c>
    </row>
    <row r="24" customFormat="false" ht="18" hidden="false" customHeight="false" outlineLevel="0" collapsed="false">
      <c r="A24" s="6" t="s">
        <v>375</v>
      </c>
      <c r="B24" s="16" t="s">
        <v>322</v>
      </c>
      <c r="C24" s="8" t="s">
        <v>376</v>
      </c>
      <c r="D24" s="9" t="s">
        <v>47</v>
      </c>
      <c r="E24" s="10" t="n">
        <v>4608</v>
      </c>
      <c r="F24" s="10" t="n">
        <v>144</v>
      </c>
      <c r="G24" s="11" t="n">
        <v>24.1</v>
      </c>
      <c r="H24" s="11" t="n">
        <v>24.1</v>
      </c>
      <c r="I24" s="11" t="n">
        <v>48.3</v>
      </c>
      <c r="J24" s="11" t="n">
        <v>96.5</v>
      </c>
      <c r="K24" s="11" t="n">
        <v>24.1</v>
      </c>
      <c r="L24" s="11" t="n">
        <v>48.3</v>
      </c>
      <c r="M24" s="11" t="n">
        <v>0.38</v>
      </c>
      <c r="N24" s="11"/>
      <c r="O24" s="10" t="n">
        <v>193</v>
      </c>
      <c r="P24" s="10" t="n">
        <v>193</v>
      </c>
      <c r="Q24" s="8" t="s">
        <v>240</v>
      </c>
      <c r="R24" s="10" t="n">
        <v>24</v>
      </c>
      <c r="S24" s="10" t="n">
        <v>300</v>
      </c>
      <c r="T24" s="11" t="n">
        <v>70</v>
      </c>
      <c r="X24" s="13" t="s">
        <v>377</v>
      </c>
      <c r="AE24" s="13" t="s">
        <v>378</v>
      </c>
      <c r="AF24" s="13" t="s">
        <v>379</v>
      </c>
      <c r="AG24" s="13" t="s">
        <v>380</v>
      </c>
      <c r="AH24" s="13" t="s">
        <v>381</v>
      </c>
      <c r="AI24" s="13" t="s">
        <v>380</v>
      </c>
      <c r="AJ24" s="13" t="s">
        <v>382</v>
      </c>
      <c r="AK24" s="13" t="s">
        <v>383</v>
      </c>
      <c r="AM24" s="13" t="s">
        <v>384</v>
      </c>
      <c r="AN24" s="13" t="s">
        <v>385</v>
      </c>
      <c r="AO24" s="13" t="s">
        <v>371</v>
      </c>
      <c r="AP24" s="13" t="s">
        <v>386</v>
      </c>
      <c r="AQ24" s="13" t="s">
        <v>387</v>
      </c>
      <c r="AR24" s="13" t="s">
        <v>388</v>
      </c>
    </row>
    <row r="25" customFormat="false" ht="18" hidden="false" customHeight="false" outlineLevel="0" collapsed="false">
      <c r="A25" s="6" t="s">
        <v>389</v>
      </c>
      <c r="B25" s="16" t="s">
        <v>322</v>
      </c>
      <c r="C25" s="8" t="s">
        <v>323</v>
      </c>
      <c r="D25" s="9" t="s">
        <v>188</v>
      </c>
      <c r="E25" s="10" t="n">
        <v>16384</v>
      </c>
      <c r="F25" s="10" t="n">
        <v>512</v>
      </c>
      <c r="G25" s="11" t="n">
        <v>82.6</v>
      </c>
      <c r="H25" s="11" t="n">
        <v>82.6</v>
      </c>
      <c r="I25" s="11" t="n">
        <v>330.3</v>
      </c>
      <c r="J25" s="11" t="n">
        <v>660.6</v>
      </c>
      <c r="K25" s="11" t="n">
        <v>165.2</v>
      </c>
      <c r="L25" s="11" t="n">
        <v>330.3</v>
      </c>
      <c r="M25" s="11" t="n">
        <v>1.29</v>
      </c>
      <c r="N25" s="11"/>
      <c r="O25" s="10" t="n">
        <v>1321</v>
      </c>
      <c r="P25" s="10" t="n">
        <v>1321</v>
      </c>
      <c r="Q25" s="8" t="s">
        <v>240</v>
      </c>
      <c r="R25" s="10" t="n">
        <v>24</v>
      </c>
      <c r="S25" s="10" t="n">
        <v>1008</v>
      </c>
      <c r="T25" s="11" t="n">
        <v>450</v>
      </c>
      <c r="U25" s="12" t="s">
        <v>390</v>
      </c>
      <c r="V25" s="13" t="s">
        <v>391</v>
      </c>
      <c r="W25" s="13" t="s">
        <v>392</v>
      </c>
      <c r="X25" s="13" t="s">
        <v>325</v>
      </c>
      <c r="Y25" s="13" t="s">
        <v>393</v>
      </c>
      <c r="Z25" s="13" t="s">
        <v>394</v>
      </c>
      <c r="AA25" s="13" t="s">
        <v>395</v>
      </c>
      <c r="AB25" s="13" t="s">
        <v>329</v>
      </c>
      <c r="AC25" s="13" t="s">
        <v>396</v>
      </c>
      <c r="AD25" s="13" t="s">
        <v>143</v>
      </c>
      <c r="AE25" s="13" t="s">
        <v>397</v>
      </c>
      <c r="AF25" s="13" t="s">
        <v>398</v>
      </c>
      <c r="AG25" s="13" t="s">
        <v>399</v>
      </c>
      <c r="AH25" s="13" t="s">
        <v>400</v>
      </c>
      <c r="AI25" s="13" t="s">
        <v>399</v>
      </c>
      <c r="AJ25" s="13" t="s">
        <v>401</v>
      </c>
      <c r="AK25" s="13" t="s">
        <v>402</v>
      </c>
      <c r="AL25" s="13" t="s">
        <v>53</v>
      </c>
      <c r="AM25" s="13" t="s">
        <v>403</v>
      </c>
      <c r="AN25" s="13" t="s">
        <v>404</v>
      </c>
      <c r="AO25" s="13" t="s">
        <v>378</v>
      </c>
      <c r="AP25" s="13" t="s">
        <v>405</v>
      </c>
      <c r="AQ25" s="13" t="s">
        <v>406</v>
      </c>
      <c r="AR25" s="13" t="s">
        <v>407</v>
      </c>
    </row>
    <row r="26" customFormat="false" ht="18" hidden="false" customHeight="false" outlineLevel="0" collapsed="false">
      <c r="A26" s="6" t="s">
        <v>408</v>
      </c>
      <c r="B26" s="17" t="s">
        <v>409</v>
      </c>
      <c r="C26" s="8" t="s">
        <v>410</v>
      </c>
      <c r="D26" s="9" t="s">
        <v>47</v>
      </c>
      <c r="E26" s="10" t="n">
        <v>6912</v>
      </c>
      <c r="F26" s="10" t="n">
        <v>432</v>
      </c>
      <c r="G26" s="11" t="n">
        <v>19.5</v>
      </c>
      <c r="H26" s="11" t="n">
        <v>78</v>
      </c>
      <c r="I26" s="11" t="n">
        <v>312</v>
      </c>
      <c r="J26" s="11" t="n">
        <v>624</v>
      </c>
      <c r="K26" s="11" t="n">
        <v>156</v>
      </c>
      <c r="L26" s="11" t="n">
        <v>312</v>
      </c>
      <c r="M26" s="11" t="n">
        <v>9.7</v>
      </c>
      <c r="N26" s="11" t="n">
        <v>19.5</v>
      </c>
      <c r="O26" s="10" t="n">
        <v>1248</v>
      </c>
      <c r="P26" s="10" t="n">
        <v>2496</v>
      </c>
      <c r="Q26" s="8" t="s">
        <v>411</v>
      </c>
      <c r="R26" s="10" t="n">
        <v>80</v>
      </c>
      <c r="S26" s="10" t="n">
        <v>2039</v>
      </c>
      <c r="T26" s="11" t="n">
        <v>400</v>
      </c>
      <c r="U26" s="12" t="s">
        <v>412</v>
      </c>
      <c r="X26" s="13" t="s">
        <v>410</v>
      </c>
      <c r="Y26" s="13" t="s">
        <v>413</v>
      </c>
      <c r="Z26" s="13" t="s">
        <v>414</v>
      </c>
      <c r="AA26" s="13" t="s">
        <v>415</v>
      </c>
      <c r="AB26" s="13" t="s">
        <v>416</v>
      </c>
      <c r="AC26" s="13" t="s">
        <v>417</v>
      </c>
      <c r="AD26" s="13" t="s">
        <v>418</v>
      </c>
      <c r="AE26" s="13" t="s">
        <v>419</v>
      </c>
      <c r="AF26" s="13" t="s">
        <v>284</v>
      </c>
      <c r="AG26" s="13" t="s">
        <v>420</v>
      </c>
      <c r="AH26" s="13" t="s">
        <v>421</v>
      </c>
      <c r="AI26" s="13" t="s">
        <v>422</v>
      </c>
      <c r="AJ26" s="13" t="s">
        <v>423</v>
      </c>
      <c r="AK26" s="13" t="s">
        <v>424</v>
      </c>
      <c r="AL26" s="13" t="s">
        <v>425</v>
      </c>
      <c r="AM26" s="13" t="s">
        <v>426</v>
      </c>
      <c r="AN26" s="13" t="s">
        <v>427</v>
      </c>
      <c r="AO26" s="13" t="s">
        <v>428</v>
      </c>
      <c r="AP26" s="13" t="s">
        <v>429</v>
      </c>
      <c r="AQ26" s="13" t="s">
        <v>98</v>
      </c>
      <c r="AR26" s="13" t="s">
        <v>320</v>
      </c>
    </row>
    <row r="27" customFormat="false" ht="18" hidden="false" customHeight="false" outlineLevel="0" collapsed="false">
      <c r="A27" s="6" t="s">
        <v>430</v>
      </c>
      <c r="B27" s="17" t="s">
        <v>409</v>
      </c>
      <c r="C27" s="8" t="s">
        <v>410</v>
      </c>
      <c r="D27" s="9" t="s">
        <v>47</v>
      </c>
      <c r="E27" s="10" t="n">
        <v>6912</v>
      </c>
      <c r="F27" s="10" t="n">
        <v>432</v>
      </c>
      <c r="G27" s="11" t="n">
        <v>19.5</v>
      </c>
      <c r="H27" s="11" t="n">
        <v>78</v>
      </c>
      <c r="I27" s="11" t="n">
        <v>312</v>
      </c>
      <c r="J27" s="11" t="n">
        <v>624</v>
      </c>
      <c r="K27" s="11" t="n">
        <v>156</v>
      </c>
      <c r="L27" s="11" t="n">
        <v>312</v>
      </c>
      <c r="M27" s="11" t="n">
        <v>9.7</v>
      </c>
      <c r="N27" s="11" t="n">
        <v>19.5</v>
      </c>
      <c r="O27" s="10" t="n">
        <v>1248</v>
      </c>
      <c r="P27" s="10" t="n">
        <v>2496</v>
      </c>
      <c r="Q27" s="8" t="s">
        <v>411</v>
      </c>
      <c r="R27" s="10" t="n">
        <v>80</v>
      </c>
      <c r="S27" s="10" t="n">
        <v>1935</v>
      </c>
      <c r="T27" s="11" t="n">
        <v>250</v>
      </c>
      <c r="U27" s="12" t="s">
        <v>412</v>
      </c>
      <c r="X27" s="13" t="s">
        <v>410</v>
      </c>
      <c r="Y27" s="13" t="s">
        <v>413</v>
      </c>
      <c r="Z27" s="13" t="s">
        <v>414</v>
      </c>
      <c r="AA27" s="13" t="s">
        <v>431</v>
      </c>
      <c r="AB27" s="13" t="s">
        <v>432</v>
      </c>
      <c r="AC27" s="13" t="s">
        <v>433</v>
      </c>
      <c r="AD27" s="13" t="s">
        <v>418</v>
      </c>
      <c r="AE27" s="13" t="s">
        <v>434</v>
      </c>
      <c r="AF27" s="13" t="s">
        <v>279</v>
      </c>
      <c r="AG27" s="13" t="s">
        <v>420</v>
      </c>
      <c r="AH27" s="13" t="s">
        <v>421</v>
      </c>
      <c r="AI27" s="13" t="s">
        <v>422</v>
      </c>
      <c r="AJ27" s="13" t="s">
        <v>423</v>
      </c>
      <c r="AK27" s="13" t="s">
        <v>424</v>
      </c>
      <c r="AL27" s="13" t="s">
        <v>425</v>
      </c>
      <c r="AM27" s="13" t="s">
        <v>426</v>
      </c>
      <c r="AN27" s="13" t="s">
        <v>427</v>
      </c>
      <c r="AO27" s="13" t="s">
        <v>428</v>
      </c>
      <c r="AP27" s="13" t="s">
        <v>429</v>
      </c>
      <c r="AQ27" s="13" t="s">
        <v>435</v>
      </c>
      <c r="AR27" s="13" t="s">
        <v>436</v>
      </c>
    </row>
    <row r="28" customFormat="false" ht="18" hidden="false" customHeight="false" outlineLevel="0" collapsed="false">
      <c r="A28" s="6" t="s">
        <v>437</v>
      </c>
      <c r="B28" s="17" t="s">
        <v>409</v>
      </c>
      <c r="C28" s="8" t="s">
        <v>410</v>
      </c>
      <c r="D28" s="9" t="s">
        <v>47</v>
      </c>
      <c r="E28" s="10" t="n">
        <v>6912</v>
      </c>
      <c r="F28" s="10" t="n">
        <v>432</v>
      </c>
      <c r="G28" s="11" t="n">
        <v>19.5</v>
      </c>
      <c r="H28" s="11" t="n">
        <v>78</v>
      </c>
      <c r="I28" s="11" t="n">
        <v>312</v>
      </c>
      <c r="J28" s="11" t="n">
        <v>624</v>
      </c>
      <c r="K28" s="11" t="n">
        <v>156</v>
      </c>
      <c r="L28" s="11" t="n">
        <v>312</v>
      </c>
      <c r="M28" s="11" t="n">
        <v>9.7</v>
      </c>
      <c r="N28" s="11" t="n">
        <v>19.5</v>
      </c>
      <c r="O28" s="10" t="n">
        <v>1248</v>
      </c>
      <c r="P28" s="10" t="n">
        <v>2496</v>
      </c>
      <c r="Q28" s="8" t="s">
        <v>411</v>
      </c>
      <c r="R28" s="10" t="n">
        <v>40</v>
      </c>
      <c r="S28" s="10" t="n">
        <v>1555</v>
      </c>
      <c r="T28" s="11" t="n">
        <v>400</v>
      </c>
      <c r="U28" s="12" t="s">
        <v>412</v>
      </c>
      <c r="X28" s="13" t="s">
        <v>410</v>
      </c>
      <c r="Y28" s="13" t="s">
        <v>413</v>
      </c>
      <c r="Z28" s="13" t="s">
        <v>414</v>
      </c>
      <c r="AA28" s="13" t="s">
        <v>438</v>
      </c>
      <c r="AB28" s="13" t="s">
        <v>432</v>
      </c>
      <c r="AC28" s="13" t="s">
        <v>439</v>
      </c>
      <c r="AD28" s="13" t="s">
        <v>418</v>
      </c>
      <c r="AE28" s="13" t="s">
        <v>440</v>
      </c>
      <c r="AF28" s="13" t="s">
        <v>441</v>
      </c>
      <c r="AG28" s="13" t="s">
        <v>420</v>
      </c>
      <c r="AH28" s="13" t="s">
        <v>421</v>
      </c>
      <c r="AI28" s="13" t="s">
        <v>425</v>
      </c>
      <c r="AJ28" s="13" t="s">
        <v>423</v>
      </c>
      <c r="AK28" s="13" t="s">
        <v>424</v>
      </c>
      <c r="AL28" s="13" t="s">
        <v>425</v>
      </c>
      <c r="AM28" s="13" t="s">
        <v>426</v>
      </c>
      <c r="AN28" s="13" t="s">
        <v>427</v>
      </c>
      <c r="AO28" s="13" t="s">
        <v>442</v>
      </c>
      <c r="AP28" s="13" t="s">
        <v>429</v>
      </c>
      <c r="AQ28" s="13" t="s">
        <v>98</v>
      </c>
      <c r="AR28" s="13" t="s">
        <v>320</v>
      </c>
    </row>
    <row r="29" customFormat="false" ht="18" hidden="false" customHeight="false" outlineLevel="0" collapsed="false">
      <c r="A29" s="6" t="s">
        <v>443</v>
      </c>
      <c r="B29" s="17" t="s">
        <v>409</v>
      </c>
      <c r="C29" s="8" t="s">
        <v>410</v>
      </c>
      <c r="D29" s="9" t="s">
        <v>47</v>
      </c>
      <c r="E29" s="10" t="n">
        <v>6912</v>
      </c>
      <c r="F29" s="10" t="n">
        <v>432</v>
      </c>
      <c r="G29" s="11" t="n">
        <v>19.5</v>
      </c>
      <c r="H29" s="11" t="n">
        <v>78</v>
      </c>
      <c r="I29" s="11" t="n">
        <v>312</v>
      </c>
      <c r="J29" s="11" t="n">
        <v>624</v>
      </c>
      <c r="K29" s="11" t="n">
        <v>156</v>
      </c>
      <c r="L29" s="11" t="n">
        <v>312</v>
      </c>
      <c r="M29" s="11" t="n">
        <v>9.7</v>
      </c>
      <c r="N29" s="11" t="n">
        <v>19.5</v>
      </c>
      <c r="O29" s="10" t="n">
        <v>1248</v>
      </c>
      <c r="P29" s="10" t="n">
        <v>2496</v>
      </c>
      <c r="Q29" s="8" t="s">
        <v>411</v>
      </c>
      <c r="R29" s="10" t="n">
        <v>40</v>
      </c>
      <c r="S29" s="10" t="n">
        <v>1555</v>
      </c>
      <c r="T29" s="11" t="n">
        <v>250</v>
      </c>
      <c r="U29" s="12" t="s">
        <v>412</v>
      </c>
      <c r="X29" s="13" t="s">
        <v>410</v>
      </c>
      <c r="Y29" s="13" t="s">
        <v>413</v>
      </c>
      <c r="Z29" s="13" t="s">
        <v>414</v>
      </c>
      <c r="AA29" s="13" t="s">
        <v>438</v>
      </c>
      <c r="AB29" s="13" t="s">
        <v>432</v>
      </c>
      <c r="AC29" s="13" t="s">
        <v>439</v>
      </c>
      <c r="AD29" s="13" t="s">
        <v>418</v>
      </c>
      <c r="AE29" s="13" t="s">
        <v>440</v>
      </c>
      <c r="AF29" s="13" t="s">
        <v>441</v>
      </c>
      <c r="AG29" s="13" t="s">
        <v>420</v>
      </c>
      <c r="AH29" s="13" t="s">
        <v>421</v>
      </c>
      <c r="AI29" s="13" t="s">
        <v>425</v>
      </c>
      <c r="AJ29" s="13" t="s">
        <v>423</v>
      </c>
      <c r="AK29" s="13" t="s">
        <v>424</v>
      </c>
      <c r="AL29" s="13" t="s">
        <v>425</v>
      </c>
      <c r="AM29" s="13" t="s">
        <v>426</v>
      </c>
      <c r="AN29" s="13" t="s">
        <v>427</v>
      </c>
      <c r="AO29" s="13" t="s">
        <v>442</v>
      </c>
      <c r="AP29" s="13" t="s">
        <v>429</v>
      </c>
      <c r="AQ29" s="13" t="s">
        <v>435</v>
      </c>
      <c r="AR29" s="13" t="s">
        <v>436</v>
      </c>
    </row>
    <row r="30" customFormat="false" ht="18" hidden="false" customHeight="false" outlineLevel="0" collapsed="false">
      <c r="A30" s="6" t="s">
        <v>444</v>
      </c>
      <c r="B30" s="17" t="s">
        <v>409</v>
      </c>
      <c r="C30" s="8" t="s">
        <v>445</v>
      </c>
      <c r="D30" s="9" t="s">
        <v>47</v>
      </c>
      <c r="E30" s="10" t="n">
        <v>10752</v>
      </c>
      <c r="F30" s="10" t="n">
        <v>336</v>
      </c>
      <c r="G30" s="11" t="n">
        <v>37.4</v>
      </c>
      <c r="H30" s="11" t="n">
        <v>37.4</v>
      </c>
      <c r="I30" s="11" t="n">
        <v>149.7</v>
      </c>
      <c r="J30" s="11" t="n">
        <v>299.3</v>
      </c>
      <c r="K30" s="11" t="n">
        <v>74.8</v>
      </c>
      <c r="L30" s="11" t="n">
        <v>149.7</v>
      </c>
      <c r="M30" s="11" t="n">
        <v>0.58</v>
      </c>
      <c r="N30" s="11"/>
      <c r="O30" s="10" t="n">
        <v>598.6</v>
      </c>
      <c r="P30" s="10" t="n">
        <v>1197</v>
      </c>
      <c r="Q30" s="8" t="s">
        <v>411</v>
      </c>
      <c r="R30" s="10" t="n">
        <v>48</v>
      </c>
      <c r="S30" s="10" t="n">
        <v>696</v>
      </c>
      <c r="T30" s="11" t="n">
        <v>300</v>
      </c>
      <c r="U30" s="13" t="s">
        <v>446</v>
      </c>
      <c r="X30" s="13" t="s">
        <v>445</v>
      </c>
      <c r="Y30" s="13" t="s">
        <v>210</v>
      </c>
      <c r="Z30" s="13" t="s">
        <v>211</v>
      </c>
      <c r="AA30" s="13" t="s">
        <v>447</v>
      </c>
      <c r="AB30" s="13" t="s">
        <v>448</v>
      </c>
      <c r="AC30" s="13" t="s">
        <v>449</v>
      </c>
      <c r="AD30" s="13" t="s">
        <v>143</v>
      </c>
      <c r="AE30" s="13" t="s">
        <v>450</v>
      </c>
      <c r="AF30" s="13" t="s">
        <v>349</v>
      </c>
      <c r="AG30" s="13" t="s">
        <v>451</v>
      </c>
      <c r="AH30" s="13" t="s">
        <v>452</v>
      </c>
      <c r="AI30" s="13" t="s">
        <v>451</v>
      </c>
      <c r="AJ30" s="13" t="s">
        <v>453</v>
      </c>
      <c r="AK30" s="13" t="s">
        <v>454</v>
      </c>
      <c r="AL30" s="13" t="s">
        <v>53</v>
      </c>
      <c r="AM30" s="13" t="s">
        <v>455</v>
      </c>
      <c r="AN30" s="13" t="s">
        <v>456</v>
      </c>
      <c r="AO30" s="13" t="s">
        <v>457</v>
      </c>
      <c r="AP30" s="13" t="s">
        <v>458</v>
      </c>
      <c r="AQ30" s="13" t="s">
        <v>435</v>
      </c>
      <c r="AR30" s="13" t="s">
        <v>459</v>
      </c>
    </row>
    <row r="31" customFormat="false" ht="18" hidden="false" customHeight="false" outlineLevel="0" collapsed="false">
      <c r="A31" s="6" t="s">
        <v>460</v>
      </c>
      <c r="B31" s="17" t="s">
        <v>409</v>
      </c>
      <c r="C31" s="8" t="s">
        <v>461</v>
      </c>
      <c r="D31" s="9" t="s">
        <v>47</v>
      </c>
      <c r="E31" s="10" t="n">
        <v>3584</v>
      </c>
      <c r="F31" s="10" t="n">
        <v>224</v>
      </c>
      <c r="G31" s="11" t="n">
        <v>10.3</v>
      </c>
      <c r="H31" s="11" t="n">
        <v>41.2</v>
      </c>
      <c r="I31" s="11" t="n">
        <v>165</v>
      </c>
      <c r="J31" s="11" t="n">
        <v>330</v>
      </c>
      <c r="K31" s="11" t="n">
        <v>82.5</v>
      </c>
      <c r="L31" s="11" t="n">
        <v>165</v>
      </c>
      <c r="M31" s="11" t="n">
        <v>5.2</v>
      </c>
      <c r="N31" s="11" t="n">
        <v>10.3</v>
      </c>
      <c r="O31" s="10" t="n">
        <v>661</v>
      </c>
      <c r="P31" s="10" t="n">
        <v>1321</v>
      </c>
      <c r="Q31" s="8" t="s">
        <v>411</v>
      </c>
      <c r="R31" s="10" t="n">
        <v>24</v>
      </c>
      <c r="S31" s="10" t="n">
        <v>933</v>
      </c>
      <c r="T31" s="11" t="n">
        <v>165</v>
      </c>
      <c r="U31" s="12" t="s">
        <v>412</v>
      </c>
      <c r="X31" s="13" t="s">
        <v>462</v>
      </c>
      <c r="Y31" s="13" t="s">
        <v>463</v>
      </c>
      <c r="Z31" s="13" t="s">
        <v>464</v>
      </c>
      <c r="AA31" s="13" t="s">
        <v>465</v>
      </c>
      <c r="AB31" s="13" t="s">
        <v>466</v>
      </c>
      <c r="AC31" s="13" t="s">
        <v>467</v>
      </c>
      <c r="AD31" s="13" t="s">
        <v>468</v>
      </c>
      <c r="AE31" s="13" t="s">
        <v>469</v>
      </c>
      <c r="AF31" s="13" t="s">
        <v>398</v>
      </c>
      <c r="AG31" s="13" t="s">
        <v>470</v>
      </c>
      <c r="AH31" s="13" t="s">
        <v>471</v>
      </c>
      <c r="AI31" s="13" t="s">
        <v>472</v>
      </c>
      <c r="AJ31" s="13" t="s">
        <v>473</v>
      </c>
      <c r="AK31" s="13" t="s">
        <v>474</v>
      </c>
      <c r="AL31" s="13" t="s">
        <v>472</v>
      </c>
      <c r="AM31" s="13" t="s">
        <v>475</v>
      </c>
      <c r="AN31" s="13" t="s">
        <v>476</v>
      </c>
      <c r="AO31" s="13" t="s">
        <v>477</v>
      </c>
      <c r="AP31" s="13" t="s">
        <v>429</v>
      </c>
      <c r="AQ31" s="13" t="s">
        <v>435</v>
      </c>
      <c r="AR31" s="13" t="s">
        <v>478</v>
      </c>
    </row>
    <row r="32" customFormat="false" ht="18" hidden="false" customHeight="false" outlineLevel="0" collapsed="false">
      <c r="A32" s="6" t="s">
        <v>479</v>
      </c>
      <c r="B32" s="17" t="s">
        <v>409</v>
      </c>
      <c r="C32" s="8" t="s">
        <v>480</v>
      </c>
      <c r="D32" s="9" t="s">
        <v>47</v>
      </c>
      <c r="E32" s="10" t="n">
        <v>9216</v>
      </c>
      <c r="F32" s="10" t="n">
        <v>288</v>
      </c>
      <c r="G32" s="11" t="n">
        <v>31.2</v>
      </c>
      <c r="H32" s="11" t="n">
        <v>31.2</v>
      </c>
      <c r="I32" s="11" t="n">
        <v>125</v>
      </c>
      <c r="J32" s="11" t="n">
        <v>250</v>
      </c>
      <c r="K32" s="11" t="n">
        <v>62.5</v>
      </c>
      <c r="L32" s="11" t="n">
        <v>125</v>
      </c>
      <c r="M32" s="11" t="n">
        <v>0.97</v>
      </c>
      <c r="N32" s="11"/>
      <c r="O32" s="10" t="n">
        <v>500</v>
      </c>
      <c r="P32" s="10" t="n">
        <v>1000</v>
      </c>
      <c r="Q32" s="8" t="s">
        <v>411</v>
      </c>
      <c r="R32" s="10" t="n">
        <v>24</v>
      </c>
      <c r="S32" s="10" t="n">
        <v>600</v>
      </c>
      <c r="T32" s="11" t="n">
        <v>150</v>
      </c>
      <c r="U32" s="12" t="s">
        <v>481</v>
      </c>
      <c r="V32" s="12" t="s">
        <v>482</v>
      </c>
      <c r="X32" s="13" t="s">
        <v>483</v>
      </c>
      <c r="Y32" s="13" t="s">
        <v>484</v>
      </c>
      <c r="Z32" s="13" t="s">
        <v>485</v>
      </c>
      <c r="AA32" s="13" t="s">
        <v>486</v>
      </c>
      <c r="AB32" s="13" t="s">
        <v>487</v>
      </c>
      <c r="AC32" s="13" t="s">
        <v>488</v>
      </c>
      <c r="AE32" s="13" t="s">
        <v>489</v>
      </c>
      <c r="AF32" s="13" t="s">
        <v>398</v>
      </c>
      <c r="AG32" s="13" t="s">
        <v>490</v>
      </c>
      <c r="AH32" s="13" t="s">
        <v>491</v>
      </c>
      <c r="AI32" s="13" t="s">
        <v>490</v>
      </c>
      <c r="AJ32" s="13" t="s">
        <v>492</v>
      </c>
      <c r="AK32" s="13" t="s">
        <v>493</v>
      </c>
      <c r="AL32" s="13" t="s">
        <v>53</v>
      </c>
      <c r="AM32" s="13" t="s">
        <v>494</v>
      </c>
      <c r="AN32" s="13" t="s">
        <v>495</v>
      </c>
      <c r="AO32" s="13" t="s">
        <v>496</v>
      </c>
      <c r="AQ32" s="13" t="s">
        <v>497</v>
      </c>
      <c r="AR32" s="13" t="s">
        <v>498</v>
      </c>
    </row>
    <row r="33" customFormat="false" ht="18" hidden="false" customHeight="false" outlineLevel="0" collapsed="false">
      <c r="A33" s="6" t="s">
        <v>499</v>
      </c>
      <c r="B33" s="17" t="s">
        <v>409</v>
      </c>
      <c r="C33" s="8" t="s">
        <v>445</v>
      </c>
      <c r="D33" s="9" t="s">
        <v>102</v>
      </c>
      <c r="E33" s="10" t="n">
        <v>10752</v>
      </c>
      <c r="F33" s="10" t="n">
        <v>336</v>
      </c>
      <c r="G33" s="11" t="n">
        <v>38.7</v>
      </c>
      <c r="H33" s="11" t="n">
        <v>38.7</v>
      </c>
      <c r="I33" s="11" t="n">
        <v>154.8</v>
      </c>
      <c r="J33" s="11" t="n">
        <v>309.7</v>
      </c>
      <c r="K33" s="11" t="n">
        <v>77.4</v>
      </c>
      <c r="L33" s="11" t="n">
        <v>154.8</v>
      </c>
      <c r="M33" s="11" t="n">
        <v>0.61</v>
      </c>
      <c r="N33" s="11"/>
      <c r="O33" s="10" t="n">
        <v>619.4</v>
      </c>
      <c r="P33" s="10" t="n">
        <v>1238.7</v>
      </c>
      <c r="Q33" s="8" t="s">
        <v>411</v>
      </c>
      <c r="R33" s="10" t="n">
        <v>48</v>
      </c>
      <c r="S33" s="10" t="n">
        <v>768</v>
      </c>
      <c r="T33" s="11" t="n">
        <v>300</v>
      </c>
      <c r="U33" s="13" t="s">
        <v>500</v>
      </c>
      <c r="W33" s="12" t="s">
        <v>390</v>
      </c>
      <c r="X33" s="13" t="s">
        <v>445</v>
      </c>
      <c r="Y33" s="13" t="s">
        <v>210</v>
      </c>
      <c r="Z33" s="13" t="s">
        <v>211</v>
      </c>
      <c r="AA33" s="13" t="s">
        <v>501</v>
      </c>
      <c r="AB33" s="13" t="s">
        <v>502</v>
      </c>
      <c r="AC33" s="13" t="s">
        <v>503</v>
      </c>
      <c r="AD33" s="13" t="s">
        <v>143</v>
      </c>
      <c r="AE33" s="13" t="s">
        <v>504</v>
      </c>
      <c r="AF33" s="13" t="s">
        <v>333</v>
      </c>
      <c r="AG33" s="13" t="s">
        <v>505</v>
      </c>
      <c r="AH33" s="13" t="s">
        <v>506</v>
      </c>
      <c r="AI33" s="13" t="s">
        <v>505</v>
      </c>
      <c r="AJ33" s="13" t="s">
        <v>507</v>
      </c>
      <c r="AK33" s="13" t="s">
        <v>508</v>
      </c>
      <c r="AL33" s="13" t="s">
        <v>53</v>
      </c>
      <c r="AM33" s="13" t="s">
        <v>509</v>
      </c>
      <c r="AN33" s="13" t="s">
        <v>510</v>
      </c>
      <c r="AO33" s="13" t="s">
        <v>457</v>
      </c>
      <c r="AP33" s="13" t="s">
        <v>458</v>
      </c>
      <c r="AQ33" s="13" t="s">
        <v>511</v>
      </c>
      <c r="AR33" s="13" t="s">
        <v>459</v>
      </c>
    </row>
    <row r="34" customFormat="false" ht="18" hidden="false" customHeight="false" outlineLevel="0" collapsed="false">
      <c r="A34" s="6" t="s">
        <v>512</v>
      </c>
      <c r="B34" s="17" t="s">
        <v>409</v>
      </c>
      <c r="C34" s="8" t="s">
        <v>445</v>
      </c>
      <c r="D34" s="9" t="s">
        <v>188</v>
      </c>
      <c r="E34" s="10" t="n">
        <v>10496</v>
      </c>
      <c r="F34" s="10" t="n">
        <v>328</v>
      </c>
      <c r="G34" s="11" t="n">
        <v>35.6</v>
      </c>
      <c r="H34" s="11" t="n">
        <v>35.6</v>
      </c>
      <c r="I34" s="11" t="n">
        <v>142.4</v>
      </c>
      <c r="J34" s="11" t="n">
        <v>284.7</v>
      </c>
      <c r="K34" s="11" t="n">
        <v>71.2</v>
      </c>
      <c r="L34" s="11" t="n">
        <v>142.4</v>
      </c>
      <c r="M34" s="11" t="n">
        <v>0.56</v>
      </c>
      <c r="N34" s="11"/>
      <c r="O34" s="10" t="n">
        <v>569.4</v>
      </c>
      <c r="P34" s="10" t="n">
        <v>1138.9</v>
      </c>
      <c r="Q34" s="8" t="s">
        <v>411</v>
      </c>
      <c r="R34" s="10" t="n">
        <v>24</v>
      </c>
      <c r="S34" s="10" t="n">
        <v>935</v>
      </c>
      <c r="T34" s="11" t="n">
        <v>350</v>
      </c>
      <c r="U34" s="12" t="s">
        <v>390</v>
      </c>
      <c r="V34" s="13" t="s">
        <v>391</v>
      </c>
      <c r="W34" s="13" t="s">
        <v>392</v>
      </c>
      <c r="X34" s="13" t="s">
        <v>445</v>
      </c>
      <c r="Y34" s="13" t="s">
        <v>158</v>
      </c>
      <c r="Z34" s="13" t="s">
        <v>159</v>
      </c>
      <c r="AA34" s="13" t="s">
        <v>513</v>
      </c>
      <c r="AB34" s="13" t="s">
        <v>514</v>
      </c>
      <c r="AC34" s="13" t="s">
        <v>515</v>
      </c>
      <c r="AD34" s="13" t="s">
        <v>143</v>
      </c>
      <c r="AE34" s="13" t="s">
        <v>516</v>
      </c>
      <c r="AF34" s="13" t="s">
        <v>398</v>
      </c>
      <c r="AG34" s="13" t="s">
        <v>517</v>
      </c>
      <c r="AH34" s="13" t="s">
        <v>518</v>
      </c>
      <c r="AI34" s="13" t="s">
        <v>517</v>
      </c>
      <c r="AJ34" s="13" t="s">
        <v>519</v>
      </c>
      <c r="AK34" s="13" t="s">
        <v>520</v>
      </c>
      <c r="AL34" s="13" t="s">
        <v>53</v>
      </c>
      <c r="AM34" s="13" t="s">
        <v>521</v>
      </c>
      <c r="AN34" s="13" t="s">
        <v>522</v>
      </c>
      <c r="AO34" s="13" t="s">
        <v>523</v>
      </c>
      <c r="AP34" s="13" t="s">
        <v>458</v>
      </c>
      <c r="AQ34" s="13" t="s">
        <v>406</v>
      </c>
      <c r="AR34" s="13" t="s">
        <v>524</v>
      </c>
    </row>
    <row r="35" customFormat="false" ht="18" hidden="false" customHeight="false" outlineLevel="0" collapsed="false">
      <c r="A35" s="6" t="s">
        <v>525</v>
      </c>
      <c r="B35" s="17" t="s">
        <v>409</v>
      </c>
      <c r="C35" s="8" t="s">
        <v>445</v>
      </c>
      <c r="D35" s="9" t="s">
        <v>188</v>
      </c>
      <c r="E35" s="10" t="n">
        <v>8704</v>
      </c>
      <c r="F35" s="10" t="n">
        <v>272</v>
      </c>
      <c r="G35" s="11" t="n">
        <v>29.8</v>
      </c>
      <c r="H35" s="11" t="n">
        <v>29.8</v>
      </c>
      <c r="I35" s="11" t="n">
        <v>119.1</v>
      </c>
      <c r="J35" s="11" t="n">
        <v>238.2</v>
      </c>
      <c r="K35" s="11" t="n">
        <v>59.5</v>
      </c>
      <c r="L35" s="11" t="n">
        <v>119.1</v>
      </c>
      <c r="M35" s="11" t="n">
        <v>0.47</v>
      </c>
      <c r="N35" s="11"/>
      <c r="O35" s="10" t="n">
        <v>476.4</v>
      </c>
      <c r="P35" s="10" t="n">
        <v>952.8</v>
      </c>
      <c r="Q35" s="8" t="s">
        <v>411</v>
      </c>
      <c r="R35" s="10" t="n">
        <v>10</v>
      </c>
      <c r="S35" s="10" t="n">
        <v>760</v>
      </c>
      <c r="T35" s="11" t="n">
        <v>320</v>
      </c>
      <c r="U35" s="12" t="s">
        <v>390</v>
      </c>
      <c r="V35" s="13" t="s">
        <v>391</v>
      </c>
      <c r="W35" s="13" t="s">
        <v>392</v>
      </c>
      <c r="X35" s="13" t="s">
        <v>445</v>
      </c>
      <c r="Y35" s="13" t="s">
        <v>526</v>
      </c>
      <c r="Z35" s="13" t="s">
        <v>527</v>
      </c>
      <c r="AA35" s="13" t="s">
        <v>360</v>
      </c>
      <c r="AB35" s="13" t="s">
        <v>528</v>
      </c>
      <c r="AC35" s="13" t="s">
        <v>515</v>
      </c>
      <c r="AD35" s="13" t="s">
        <v>529</v>
      </c>
      <c r="AE35" s="13" t="s">
        <v>530</v>
      </c>
      <c r="AF35" s="13" t="s">
        <v>531</v>
      </c>
      <c r="AG35" s="13" t="s">
        <v>532</v>
      </c>
      <c r="AH35" s="13" t="s">
        <v>533</v>
      </c>
      <c r="AI35" s="13" t="s">
        <v>532</v>
      </c>
      <c r="AJ35" s="13" t="s">
        <v>534</v>
      </c>
      <c r="AK35" s="13" t="s">
        <v>535</v>
      </c>
      <c r="AL35" s="13" t="s">
        <v>53</v>
      </c>
      <c r="AM35" s="13" t="s">
        <v>536</v>
      </c>
      <c r="AN35" s="13" t="s">
        <v>537</v>
      </c>
      <c r="AO35" s="13" t="s">
        <v>538</v>
      </c>
      <c r="AP35" s="13" t="s">
        <v>458</v>
      </c>
      <c r="AQ35" s="13" t="s">
        <v>539</v>
      </c>
      <c r="AR35" s="13" t="s">
        <v>540</v>
      </c>
    </row>
    <row r="36" customFormat="false" ht="18" hidden="false" customHeight="false" outlineLevel="0" collapsed="false">
      <c r="A36" s="6" t="s">
        <v>541</v>
      </c>
      <c r="B36" s="17" t="s">
        <v>409</v>
      </c>
      <c r="C36" s="8" t="s">
        <v>542</v>
      </c>
      <c r="D36" s="9" t="s">
        <v>188</v>
      </c>
      <c r="E36" s="10" t="n">
        <v>5888</v>
      </c>
      <c r="F36" s="10" t="n">
        <v>184</v>
      </c>
      <c r="G36" s="11" t="n">
        <v>20.3</v>
      </c>
      <c r="H36" s="11" t="n">
        <v>20.3</v>
      </c>
      <c r="I36" s="11" t="n">
        <v>81.3</v>
      </c>
      <c r="J36" s="11" t="n">
        <v>162.6</v>
      </c>
      <c r="K36" s="11" t="n">
        <v>40.6</v>
      </c>
      <c r="L36" s="11" t="n">
        <v>81.3</v>
      </c>
      <c r="M36" s="11" t="n">
        <v>0.32</v>
      </c>
      <c r="N36" s="11"/>
      <c r="O36" s="10" t="n">
        <v>325.2</v>
      </c>
      <c r="P36" s="10" t="n">
        <v>650.4</v>
      </c>
      <c r="Q36" s="8" t="s">
        <v>411</v>
      </c>
      <c r="R36" s="10" t="n">
        <v>8</v>
      </c>
      <c r="S36" s="10" t="n">
        <v>448</v>
      </c>
      <c r="T36" s="11" t="n">
        <v>220</v>
      </c>
      <c r="U36" s="12" t="s">
        <v>390</v>
      </c>
      <c r="V36" s="13" t="s">
        <v>391</v>
      </c>
      <c r="W36" s="13" t="s">
        <v>392</v>
      </c>
      <c r="X36" s="13" t="s">
        <v>542</v>
      </c>
      <c r="Y36" s="13" t="s">
        <v>543</v>
      </c>
      <c r="Z36" s="13" t="s">
        <v>544</v>
      </c>
      <c r="AA36" s="13" t="s">
        <v>545</v>
      </c>
      <c r="AB36" s="13" t="s">
        <v>546</v>
      </c>
      <c r="AC36" s="13" t="s">
        <v>547</v>
      </c>
      <c r="AD36" s="13" t="s">
        <v>160</v>
      </c>
      <c r="AE36" s="13" t="s">
        <v>548</v>
      </c>
      <c r="AF36" s="13" t="s">
        <v>549</v>
      </c>
      <c r="AG36" s="13" t="s">
        <v>550</v>
      </c>
      <c r="AH36" s="13" t="s">
        <v>551</v>
      </c>
      <c r="AI36" s="13" t="s">
        <v>550</v>
      </c>
      <c r="AJ36" s="13" t="s">
        <v>552</v>
      </c>
      <c r="AK36" s="13" t="s">
        <v>553</v>
      </c>
      <c r="AL36" s="13" t="s">
        <v>53</v>
      </c>
      <c r="AM36" s="13" t="s">
        <v>554</v>
      </c>
      <c r="AN36" s="13" t="s">
        <v>555</v>
      </c>
      <c r="AO36" s="13" t="s">
        <v>538</v>
      </c>
      <c r="AP36" s="13" t="s">
        <v>556</v>
      </c>
      <c r="AQ36" s="13" t="s">
        <v>557</v>
      </c>
      <c r="AR36" s="13" t="s">
        <v>558</v>
      </c>
    </row>
    <row r="37" customFormat="false" ht="18" hidden="false" customHeight="false" outlineLevel="0" collapsed="false">
      <c r="A37" s="6" t="s">
        <v>559</v>
      </c>
      <c r="B37" s="18" t="s">
        <v>560</v>
      </c>
      <c r="C37" s="8" t="s">
        <v>561</v>
      </c>
      <c r="D37" s="9" t="s">
        <v>47</v>
      </c>
      <c r="E37" s="10" t="n">
        <v>2560</v>
      </c>
      <c r="F37" s="10" t="n">
        <v>320</v>
      </c>
      <c r="G37" s="11" t="n">
        <v>8.1</v>
      </c>
      <c r="H37" s="11" t="n">
        <v>16.2</v>
      </c>
      <c r="I37" s="11" t="n">
        <v>65</v>
      </c>
      <c r="J37" s="11"/>
      <c r="K37" s="11"/>
      <c r="L37" s="11"/>
      <c r="M37" s="11" t="n">
        <v>0.25</v>
      </c>
      <c r="N37" s="11"/>
      <c r="O37" s="10" t="n">
        <v>130</v>
      </c>
      <c r="P37" s="10" t="n">
        <v>260</v>
      </c>
      <c r="Q37" s="8" t="s">
        <v>411</v>
      </c>
      <c r="R37" s="10" t="n">
        <v>16</v>
      </c>
      <c r="S37" s="10" t="n">
        <v>320</v>
      </c>
      <c r="T37" s="11" t="n">
        <v>75</v>
      </c>
      <c r="U37" s="12" t="s">
        <v>562</v>
      </c>
      <c r="V37" s="12" t="s">
        <v>482</v>
      </c>
      <c r="X37" s="13" t="s">
        <v>561</v>
      </c>
      <c r="Y37" s="13" t="s">
        <v>563</v>
      </c>
      <c r="Z37" s="13" t="s">
        <v>564</v>
      </c>
      <c r="AA37" s="13" t="s">
        <v>565</v>
      </c>
      <c r="AB37" s="13" t="s">
        <v>243</v>
      </c>
      <c r="AC37" s="13" t="s">
        <v>566</v>
      </c>
      <c r="AD37" s="13" t="s">
        <v>160</v>
      </c>
      <c r="AE37" s="13" t="s">
        <v>567</v>
      </c>
      <c r="AF37" s="13" t="s">
        <v>568</v>
      </c>
      <c r="AG37" s="13" t="s">
        <v>569</v>
      </c>
      <c r="AH37" s="13" t="s">
        <v>146</v>
      </c>
      <c r="AI37" s="13" t="s">
        <v>570</v>
      </c>
      <c r="AJ37" s="13" t="s">
        <v>53</v>
      </c>
      <c r="AK37" s="13" t="s">
        <v>571</v>
      </c>
      <c r="AL37" s="13" t="s">
        <v>53</v>
      </c>
      <c r="AM37" s="13" t="s">
        <v>572</v>
      </c>
      <c r="AN37" s="13" t="s">
        <v>573</v>
      </c>
      <c r="AO37" s="13" t="s">
        <v>574</v>
      </c>
      <c r="AP37" s="13" t="s">
        <v>575</v>
      </c>
      <c r="AQ37" s="13" t="s">
        <v>576</v>
      </c>
      <c r="AR37" s="13" t="s">
        <v>577</v>
      </c>
    </row>
    <row r="38" customFormat="false" ht="18" hidden="false" customHeight="false" outlineLevel="0" collapsed="false">
      <c r="A38" s="6" t="s">
        <v>578</v>
      </c>
      <c r="B38" s="18" t="s">
        <v>560</v>
      </c>
      <c r="C38" s="8" t="s">
        <v>579</v>
      </c>
      <c r="D38" s="9" t="s">
        <v>102</v>
      </c>
      <c r="E38" s="10" t="n">
        <v>4608</v>
      </c>
      <c r="F38" s="10" t="n">
        <v>576</v>
      </c>
      <c r="G38" s="11" t="n">
        <v>16.3</v>
      </c>
      <c r="H38" s="11" t="n">
        <v>32.6</v>
      </c>
      <c r="I38" s="11" t="n">
        <v>130.5</v>
      </c>
      <c r="J38" s="11"/>
      <c r="K38" s="11"/>
      <c r="L38" s="11"/>
      <c r="M38" s="11" t="n">
        <v>0.51</v>
      </c>
      <c r="N38" s="11"/>
      <c r="O38" s="10" t="n">
        <v>261</v>
      </c>
      <c r="P38" s="10" t="n">
        <v>522</v>
      </c>
      <c r="Q38" s="8" t="s">
        <v>411</v>
      </c>
      <c r="R38" s="10" t="n">
        <v>48</v>
      </c>
      <c r="S38" s="10" t="n">
        <v>672</v>
      </c>
      <c r="T38" s="11" t="n">
        <v>260</v>
      </c>
      <c r="U38" s="13" t="s">
        <v>500</v>
      </c>
      <c r="W38" s="12" t="s">
        <v>390</v>
      </c>
      <c r="X38" s="13" t="s">
        <v>579</v>
      </c>
      <c r="Y38" s="13" t="s">
        <v>580</v>
      </c>
      <c r="Z38" s="13" t="s">
        <v>581</v>
      </c>
      <c r="AA38" s="13" t="s">
        <v>582</v>
      </c>
      <c r="AB38" s="13" t="s">
        <v>583</v>
      </c>
      <c r="AC38" s="13" t="s">
        <v>547</v>
      </c>
      <c r="AD38" s="13" t="s">
        <v>143</v>
      </c>
      <c r="AE38" s="13" t="s">
        <v>584</v>
      </c>
      <c r="AF38" s="13" t="s">
        <v>349</v>
      </c>
      <c r="AG38" s="13" t="s">
        <v>585</v>
      </c>
      <c r="AH38" s="13" t="s">
        <v>586</v>
      </c>
      <c r="AI38" s="13" t="s">
        <v>587</v>
      </c>
      <c r="AJ38" s="13" t="s">
        <v>53</v>
      </c>
      <c r="AK38" s="13" t="s">
        <v>588</v>
      </c>
      <c r="AL38" s="13" t="s">
        <v>53</v>
      </c>
      <c r="AM38" s="13" t="s">
        <v>589</v>
      </c>
      <c r="AN38" s="13" t="s">
        <v>590</v>
      </c>
      <c r="AO38" s="13" t="s">
        <v>591</v>
      </c>
      <c r="AP38" s="13" t="s">
        <v>592</v>
      </c>
      <c r="AQ38" s="13" t="s">
        <v>593</v>
      </c>
      <c r="AR38" s="13" t="s">
        <v>594</v>
      </c>
    </row>
    <row r="39" customFormat="false" ht="18" hidden="false" customHeight="false" outlineLevel="0" collapsed="false">
      <c r="A39" s="6" t="s">
        <v>595</v>
      </c>
      <c r="B39" s="18" t="s">
        <v>560</v>
      </c>
      <c r="C39" s="8" t="s">
        <v>579</v>
      </c>
      <c r="D39" s="9" t="s">
        <v>102</v>
      </c>
      <c r="E39" s="10" t="n">
        <v>4608</v>
      </c>
      <c r="F39" s="10" t="n">
        <v>576</v>
      </c>
      <c r="G39" s="11" t="n">
        <v>14.9</v>
      </c>
      <c r="H39" s="11" t="n">
        <v>29.9</v>
      </c>
      <c r="I39" s="11" t="n">
        <v>119</v>
      </c>
      <c r="J39" s="11"/>
      <c r="K39" s="11"/>
      <c r="L39" s="11"/>
      <c r="M39" s="11" t="n">
        <v>0.47</v>
      </c>
      <c r="N39" s="11"/>
      <c r="O39" s="10" t="n">
        <v>238</v>
      </c>
      <c r="P39" s="10" t="n">
        <v>477</v>
      </c>
      <c r="Q39" s="8" t="s">
        <v>411</v>
      </c>
      <c r="R39" s="10" t="n">
        <v>48</v>
      </c>
      <c r="S39" s="10" t="n">
        <v>624</v>
      </c>
      <c r="T39" s="11" t="n">
        <v>250</v>
      </c>
      <c r="U39" s="13" t="s">
        <v>500</v>
      </c>
      <c r="W39" s="12" t="s">
        <v>390</v>
      </c>
      <c r="X39" s="13" t="s">
        <v>579</v>
      </c>
      <c r="Y39" s="13" t="s">
        <v>580</v>
      </c>
      <c r="Z39" s="13" t="s">
        <v>581</v>
      </c>
      <c r="AA39" s="13" t="s">
        <v>596</v>
      </c>
      <c r="AB39" s="13" t="s">
        <v>597</v>
      </c>
      <c r="AC39" s="13" t="s">
        <v>547</v>
      </c>
      <c r="AD39" s="13" t="s">
        <v>143</v>
      </c>
      <c r="AE39" s="13" t="s">
        <v>598</v>
      </c>
      <c r="AF39" s="13" t="s">
        <v>349</v>
      </c>
      <c r="AG39" s="13" t="s">
        <v>599</v>
      </c>
      <c r="AH39" s="13" t="s">
        <v>600</v>
      </c>
      <c r="AI39" s="13" t="s">
        <v>601</v>
      </c>
      <c r="AJ39" s="13" t="s">
        <v>53</v>
      </c>
      <c r="AK39" s="13" t="s">
        <v>535</v>
      </c>
      <c r="AL39" s="13" t="s">
        <v>53</v>
      </c>
      <c r="AM39" s="13" t="s">
        <v>602</v>
      </c>
      <c r="AN39" s="13" t="s">
        <v>603</v>
      </c>
      <c r="AO39" s="13" t="s">
        <v>591</v>
      </c>
      <c r="AP39" s="13" t="s">
        <v>592</v>
      </c>
      <c r="AQ39" s="13" t="s">
        <v>604</v>
      </c>
      <c r="AR39" s="13" t="s">
        <v>436</v>
      </c>
    </row>
    <row r="40" customFormat="false" ht="18" hidden="false" customHeight="false" outlineLevel="0" collapsed="false">
      <c r="A40" s="6" t="s">
        <v>605</v>
      </c>
      <c r="B40" s="18" t="s">
        <v>560</v>
      </c>
      <c r="C40" s="8" t="s">
        <v>579</v>
      </c>
      <c r="D40" s="9" t="s">
        <v>102</v>
      </c>
      <c r="E40" s="10" t="n">
        <v>4608</v>
      </c>
      <c r="F40" s="10" t="n">
        <v>576</v>
      </c>
      <c r="G40" s="11" t="n">
        <v>16.3</v>
      </c>
      <c r="H40" s="11" t="n">
        <v>32.6</v>
      </c>
      <c r="I40" s="11" t="n">
        <v>130.5</v>
      </c>
      <c r="J40" s="11"/>
      <c r="K40" s="11"/>
      <c r="L40" s="11"/>
      <c r="M40" s="11" t="n">
        <v>0.51</v>
      </c>
      <c r="N40" s="11"/>
      <c r="O40" s="10" t="n">
        <v>261</v>
      </c>
      <c r="P40" s="10" t="n">
        <v>522</v>
      </c>
      <c r="Q40" s="8" t="s">
        <v>411</v>
      </c>
      <c r="R40" s="10" t="n">
        <v>24</v>
      </c>
      <c r="S40" s="10" t="n">
        <v>672</v>
      </c>
      <c r="T40" s="11" t="n">
        <v>260</v>
      </c>
      <c r="U40" s="13" t="s">
        <v>500</v>
      </c>
      <c r="W40" s="12" t="s">
        <v>390</v>
      </c>
      <c r="X40" s="13" t="s">
        <v>579</v>
      </c>
      <c r="Y40" s="13" t="s">
        <v>580</v>
      </c>
      <c r="Z40" s="13" t="s">
        <v>581</v>
      </c>
      <c r="AA40" s="13" t="s">
        <v>606</v>
      </c>
      <c r="AB40" s="13" t="s">
        <v>607</v>
      </c>
      <c r="AC40" s="13" t="s">
        <v>547</v>
      </c>
      <c r="AD40" s="13" t="s">
        <v>143</v>
      </c>
      <c r="AE40" s="13" t="s">
        <v>584</v>
      </c>
      <c r="AF40" s="13" t="s">
        <v>398</v>
      </c>
      <c r="AG40" s="13" t="s">
        <v>585</v>
      </c>
      <c r="AH40" s="13" t="s">
        <v>586</v>
      </c>
      <c r="AI40" s="13" t="s">
        <v>587</v>
      </c>
      <c r="AJ40" s="13" t="s">
        <v>53</v>
      </c>
      <c r="AK40" s="13" t="s">
        <v>588</v>
      </c>
      <c r="AL40" s="13" t="s">
        <v>53</v>
      </c>
      <c r="AM40" s="13" t="s">
        <v>589</v>
      </c>
      <c r="AN40" s="13" t="s">
        <v>590</v>
      </c>
      <c r="AO40" s="13" t="s">
        <v>591</v>
      </c>
      <c r="AP40" s="13" t="s">
        <v>592</v>
      </c>
      <c r="AQ40" s="13" t="s">
        <v>593</v>
      </c>
      <c r="AR40" s="13" t="s">
        <v>594</v>
      </c>
    </row>
    <row r="41" customFormat="false" ht="18" hidden="false" customHeight="false" outlineLevel="0" collapsed="false">
      <c r="A41" s="6" t="s">
        <v>608</v>
      </c>
      <c r="B41" s="18" t="s">
        <v>560</v>
      </c>
      <c r="C41" s="8" t="s">
        <v>579</v>
      </c>
      <c r="D41" s="9" t="s">
        <v>102</v>
      </c>
      <c r="E41" s="10" t="n">
        <v>4608</v>
      </c>
      <c r="F41" s="10" t="n">
        <v>576</v>
      </c>
      <c r="G41" s="11" t="n">
        <v>14.9</v>
      </c>
      <c r="H41" s="11" t="n">
        <v>29.9</v>
      </c>
      <c r="I41" s="11" t="n">
        <v>119</v>
      </c>
      <c r="J41" s="11"/>
      <c r="K41" s="11"/>
      <c r="L41" s="11"/>
      <c r="M41" s="11" t="n">
        <v>0.47</v>
      </c>
      <c r="N41" s="11"/>
      <c r="O41" s="10" t="n">
        <v>238</v>
      </c>
      <c r="P41" s="10" t="n">
        <v>477</v>
      </c>
      <c r="Q41" s="8" t="s">
        <v>411</v>
      </c>
      <c r="R41" s="10" t="n">
        <v>24</v>
      </c>
      <c r="S41" s="10" t="n">
        <v>624</v>
      </c>
      <c r="T41" s="11" t="n">
        <v>250</v>
      </c>
      <c r="U41" s="13" t="s">
        <v>500</v>
      </c>
      <c r="W41" s="12" t="s">
        <v>390</v>
      </c>
      <c r="X41" s="13" t="s">
        <v>579</v>
      </c>
      <c r="Y41" s="13" t="s">
        <v>580</v>
      </c>
      <c r="Z41" s="13" t="s">
        <v>581</v>
      </c>
      <c r="AA41" s="13" t="s">
        <v>609</v>
      </c>
      <c r="AB41" s="13" t="s">
        <v>610</v>
      </c>
      <c r="AC41" s="13" t="s">
        <v>547</v>
      </c>
      <c r="AD41" s="13" t="s">
        <v>143</v>
      </c>
      <c r="AE41" s="13" t="s">
        <v>598</v>
      </c>
      <c r="AF41" s="13" t="s">
        <v>398</v>
      </c>
      <c r="AG41" s="13" t="s">
        <v>599</v>
      </c>
      <c r="AH41" s="13" t="s">
        <v>600</v>
      </c>
      <c r="AI41" s="13" t="s">
        <v>601</v>
      </c>
      <c r="AJ41" s="13" t="s">
        <v>53</v>
      </c>
      <c r="AK41" s="13" t="s">
        <v>535</v>
      </c>
      <c r="AL41" s="13" t="s">
        <v>53</v>
      </c>
      <c r="AM41" s="13" t="s">
        <v>602</v>
      </c>
      <c r="AN41" s="13" t="s">
        <v>603</v>
      </c>
      <c r="AO41" s="13" t="s">
        <v>591</v>
      </c>
      <c r="AP41" s="13" t="s">
        <v>592</v>
      </c>
      <c r="AQ41" s="13" t="s">
        <v>604</v>
      </c>
      <c r="AR41" s="13" t="s">
        <v>436</v>
      </c>
    </row>
    <row r="42" customFormat="false" ht="18" hidden="false" customHeight="false" outlineLevel="0" collapsed="false">
      <c r="A42" s="6" t="s">
        <v>611</v>
      </c>
      <c r="B42" s="18" t="s">
        <v>560</v>
      </c>
      <c r="C42" s="8" t="s">
        <v>561</v>
      </c>
      <c r="D42" s="9" t="s">
        <v>102</v>
      </c>
      <c r="E42" s="10" t="n">
        <v>3072</v>
      </c>
      <c r="F42" s="10" t="n">
        <v>384</v>
      </c>
      <c r="G42" s="11" t="n">
        <v>11.2</v>
      </c>
      <c r="H42" s="11" t="n">
        <v>22.4</v>
      </c>
      <c r="I42" s="11" t="n">
        <v>89.2</v>
      </c>
      <c r="J42" s="11"/>
      <c r="K42" s="11"/>
      <c r="L42" s="11"/>
      <c r="M42" s="11" t="n">
        <v>0.35</v>
      </c>
      <c r="N42" s="11"/>
      <c r="O42" s="10" t="n">
        <v>178</v>
      </c>
      <c r="P42" s="10" t="n">
        <v>357</v>
      </c>
      <c r="Q42" s="8" t="s">
        <v>411</v>
      </c>
      <c r="R42" s="10" t="n">
        <v>16</v>
      </c>
      <c r="S42" s="10" t="n">
        <v>448</v>
      </c>
      <c r="T42" s="11" t="n">
        <v>230</v>
      </c>
      <c r="U42" s="13" t="s">
        <v>500</v>
      </c>
      <c r="W42" s="12" t="s">
        <v>390</v>
      </c>
      <c r="X42" s="13" t="s">
        <v>561</v>
      </c>
      <c r="Y42" s="13" t="s">
        <v>612</v>
      </c>
      <c r="Z42" s="13" t="s">
        <v>613</v>
      </c>
      <c r="AA42" s="13" t="s">
        <v>614</v>
      </c>
      <c r="AB42" s="13" t="s">
        <v>615</v>
      </c>
      <c r="AC42" s="13" t="s">
        <v>547</v>
      </c>
      <c r="AD42" s="13" t="s">
        <v>160</v>
      </c>
      <c r="AE42" s="13" t="s">
        <v>616</v>
      </c>
      <c r="AF42" s="13" t="s">
        <v>568</v>
      </c>
      <c r="AG42" s="13" t="s">
        <v>617</v>
      </c>
      <c r="AH42" s="13" t="s">
        <v>618</v>
      </c>
      <c r="AI42" s="13" t="s">
        <v>619</v>
      </c>
      <c r="AJ42" s="13" t="s">
        <v>53</v>
      </c>
      <c r="AK42" s="13" t="s">
        <v>620</v>
      </c>
      <c r="AL42" s="13" t="s">
        <v>53</v>
      </c>
      <c r="AM42" s="13" t="s">
        <v>621</v>
      </c>
      <c r="AN42" s="13" t="s">
        <v>622</v>
      </c>
      <c r="AO42" s="13" t="s">
        <v>623</v>
      </c>
      <c r="AP42" s="13" t="s">
        <v>624</v>
      </c>
      <c r="AQ42" s="13" t="s">
        <v>593</v>
      </c>
      <c r="AR42" s="13" t="s">
        <v>625</v>
      </c>
    </row>
    <row r="43" customFormat="false" ht="18" hidden="false" customHeight="false" outlineLevel="0" collapsed="false">
      <c r="A43" s="6" t="s">
        <v>626</v>
      </c>
      <c r="B43" s="18" t="s">
        <v>560</v>
      </c>
      <c r="C43" s="8" t="s">
        <v>561</v>
      </c>
      <c r="D43" s="9" t="s">
        <v>102</v>
      </c>
      <c r="E43" s="10" t="n">
        <v>2304</v>
      </c>
      <c r="F43" s="10" t="n">
        <v>288</v>
      </c>
      <c r="G43" s="11" t="n">
        <v>7.1</v>
      </c>
      <c r="H43" s="11" t="n">
        <v>14.2</v>
      </c>
      <c r="I43" s="11" t="n">
        <v>57</v>
      </c>
      <c r="J43" s="11"/>
      <c r="K43" s="11"/>
      <c r="L43" s="11"/>
      <c r="M43" s="11" t="n">
        <v>0.22</v>
      </c>
      <c r="N43" s="11"/>
      <c r="O43" s="10" t="n">
        <v>114</v>
      </c>
      <c r="P43" s="10" t="n">
        <v>228</v>
      </c>
      <c r="Q43" s="8" t="s">
        <v>411</v>
      </c>
      <c r="R43" s="10" t="n">
        <v>8</v>
      </c>
      <c r="S43" s="10" t="n">
        <v>416</v>
      </c>
      <c r="T43" s="11" t="n">
        <v>125</v>
      </c>
      <c r="U43" s="13" t="s">
        <v>500</v>
      </c>
      <c r="W43" s="12" t="s">
        <v>390</v>
      </c>
      <c r="X43" s="13" t="s">
        <v>561</v>
      </c>
      <c r="Y43" s="13" t="s">
        <v>627</v>
      </c>
      <c r="Z43" s="13" t="s">
        <v>485</v>
      </c>
      <c r="AA43" s="13" t="s">
        <v>628</v>
      </c>
      <c r="AB43" s="13" t="s">
        <v>629</v>
      </c>
      <c r="AC43" s="13" t="s">
        <v>547</v>
      </c>
      <c r="AD43" s="13" t="s">
        <v>160</v>
      </c>
      <c r="AE43" s="13" t="s">
        <v>630</v>
      </c>
      <c r="AF43" s="13" t="s">
        <v>549</v>
      </c>
      <c r="AG43" s="13" t="s">
        <v>631</v>
      </c>
      <c r="AH43" s="13" t="s">
        <v>632</v>
      </c>
      <c r="AI43" s="13" t="s">
        <v>633</v>
      </c>
      <c r="AJ43" s="13" t="s">
        <v>53</v>
      </c>
      <c r="AK43" s="13" t="s">
        <v>634</v>
      </c>
      <c r="AL43" s="13" t="s">
        <v>53</v>
      </c>
      <c r="AM43" s="13" t="s">
        <v>635</v>
      </c>
      <c r="AN43" s="13" t="s">
        <v>636</v>
      </c>
      <c r="AO43" s="13" t="s">
        <v>574</v>
      </c>
      <c r="AP43" s="13" t="s">
        <v>624</v>
      </c>
      <c r="AQ43" s="13" t="s">
        <v>637</v>
      </c>
      <c r="AR43" s="13" t="s">
        <v>638</v>
      </c>
    </row>
    <row r="44" customFormat="false" ht="18" hidden="false" customHeight="false" outlineLevel="0" collapsed="false">
      <c r="A44" s="6" t="s">
        <v>639</v>
      </c>
      <c r="B44" s="18" t="s">
        <v>560</v>
      </c>
      <c r="C44" s="8" t="s">
        <v>579</v>
      </c>
      <c r="D44" s="9" t="s">
        <v>188</v>
      </c>
      <c r="E44" s="10" t="n">
        <v>4608</v>
      </c>
      <c r="F44" s="10" t="n">
        <v>576</v>
      </c>
      <c r="G44" s="11" t="n">
        <v>16.3</v>
      </c>
      <c r="H44" s="11" t="n">
        <v>32.6</v>
      </c>
      <c r="I44" s="11" t="n">
        <v>130.5</v>
      </c>
      <c r="J44" s="11"/>
      <c r="K44" s="11"/>
      <c r="L44" s="11"/>
      <c r="M44" s="11" t="n">
        <v>0.51</v>
      </c>
      <c r="N44" s="11"/>
      <c r="O44" s="10" t="n">
        <v>261</v>
      </c>
      <c r="P44" s="10" t="n">
        <v>522</v>
      </c>
      <c r="Q44" s="8" t="s">
        <v>411</v>
      </c>
      <c r="R44" s="10" t="n">
        <v>24</v>
      </c>
      <c r="S44" s="10" t="n">
        <v>672</v>
      </c>
      <c r="T44" s="11" t="n">
        <v>280</v>
      </c>
      <c r="U44" s="12" t="s">
        <v>390</v>
      </c>
      <c r="V44" s="13" t="s">
        <v>391</v>
      </c>
      <c r="W44" s="13" t="s">
        <v>392</v>
      </c>
      <c r="X44" s="13" t="s">
        <v>579</v>
      </c>
      <c r="Y44" s="13" t="s">
        <v>580</v>
      </c>
      <c r="Z44" s="13" t="s">
        <v>581</v>
      </c>
      <c r="AA44" s="13" t="s">
        <v>582</v>
      </c>
      <c r="AB44" s="13" t="s">
        <v>607</v>
      </c>
      <c r="AC44" s="13" t="s">
        <v>547</v>
      </c>
      <c r="AD44" s="13" t="s">
        <v>143</v>
      </c>
      <c r="AE44" s="13" t="s">
        <v>584</v>
      </c>
      <c r="AF44" s="13" t="s">
        <v>398</v>
      </c>
      <c r="AG44" s="13" t="s">
        <v>585</v>
      </c>
      <c r="AH44" s="13" t="s">
        <v>586</v>
      </c>
      <c r="AI44" s="13" t="s">
        <v>587</v>
      </c>
      <c r="AJ44" s="13" t="s">
        <v>53</v>
      </c>
      <c r="AK44" s="13" t="s">
        <v>588</v>
      </c>
      <c r="AL44" s="13" t="s">
        <v>53</v>
      </c>
      <c r="AM44" s="13" t="s">
        <v>589</v>
      </c>
      <c r="AN44" s="13" t="s">
        <v>590</v>
      </c>
      <c r="AO44" s="13" t="s">
        <v>591</v>
      </c>
      <c r="AP44" s="13" t="s">
        <v>592</v>
      </c>
      <c r="AQ44" s="13" t="s">
        <v>640</v>
      </c>
      <c r="AR44" s="13" t="s">
        <v>641</v>
      </c>
    </row>
    <row r="45" customFormat="false" ht="18" hidden="false" customHeight="false" outlineLevel="0" collapsed="false">
      <c r="A45" s="6" t="s">
        <v>642</v>
      </c>
      <c r="B45" s="18" t="s">
        <v>560</v>
      </c>
      <c r="C45" s="8" t="s">
        <v>579</v>
      </c>
      <c r="D45" s="9" t="s">
        <v>188</v>
      </c>
      <c r="E45" s="10" t="n">
        <v>4352</v>
      </c>
      <c r="F45" s="10" t="n">
        <v>544</v>
      </c>
      <c r="G45" s="11" t="n">
        <v>13.4</v>
      </c>
      <c r="H45" s="11" t="n">
        <v>26.9</v>
      </c>
      <c r="I45" s="11" t="n">
        <v>113.8</v>
      </c>
      <c r="J45" s="11"/>
      <c r="K45" s="11"/>
      <c r="L45" s="11"/>
      <c r="M45" s="11" t="n">
        <v>0.42</v>
      </c>
      <c r="N45" s="11"/>
      <c r="O45" s="10" t="n">
        <v>227</v>
      </c>
      <c r="P45" s="10" t="n">
        <v>455</v>
      </c>
      <c r="Q45" s="8" t="s">
        <v>411</v>
      </c>
      <c r="R45" s="10" t="n">
        <v>11</v>
      </c>
      <c r="S45" s="10" t="n">
        <v>616</v>
      </c>
      <c r="T45" s="11" t="n">
        <v>260</v>
      </c>
      <c r="U45" s="12" t="s">
        <v>390</v>
      </c>
      <c r="V45" s="13" t="s">
        <v>391</v>
      </c>
      <c r="W45" s="13" t="s">
        <v>392</v>
      </c>
      <c r="X45" s="13" t="s">
        <v>579</v>
      </c>
      <c r="Y45" s="13" t="s">
        <v>643</v>
      </c>
      <c r="Z45" s="13" t="s">
        <v>644</v>
      </c>
      <c r="AA45" s="13" t="s">
        <v>582</v>
      </c>
      <c r="AB45" s="13" t="s">
        <v>645</v>
      </c>
      <c r="AC45" s="13" t="s">
        <v>547</v>
      </c>
      <c r="AD45" s="13" t="s">
        <v>646</v>
      </c>
      <c r="AE45" s="13" t="s">
        <v>647</v>
      </c>
      <c r="AF45" s="13" t="s">
        <v>648</v>
      </c>
      <c r="AG45" s="13" t="s">
        <v>649</v>
      </c>
      <c r="AH45" s="13" t="s">
        <v>650</v>
      </c>
      <c r="AI45" s="13" t="s">
        <v>651</v>
      </c>
      <c r="AJ45" s="13" t="s">
        <v>53</v>
      </c>
      <c r="AK45" s="13" t="s">
        <v>652</v>
      </c>
      <c r="AL45" s="13" t="s">
        <v>53</v>
      </c>
      <c r="AM45" s="13" t="s">
        <v>653</v>
      </c>
      <c r="AN45" s="13" t="s">
        <v>654</v>
      </c>
      <c r="AO45" s="13" t="s">
        <v>591</v>
      </c>
      <c r="AP45" s="13" t="s">
        <v>592</v>
      </c>
      <c r="AQ45" s="13" t="s">
        <v>593</v>
      </c>
      <c r="AR45" s="13" t="s">
        <v>594</v>
      </c>
    </row>
    <row r="46" customFormat="false" ht="18" hidden="false" customHeight="false" outlineLevel="0" collapsed="false">
      <c r="A46" s="6" t="s">
        <v>655</v>
      </c>
      <c r="B46" s="18" t="s">
        <v>560</v>
      </c>
      <c r="C46" s="8" t="s">
        <v>561</v>
      </c>
      <c r="D46" s="9" t="s">
        <v>188</v>
      </c>
      <c r="E46" s="10" t="n">
        <v>3072</v>
      </c>
      <c r="F46" s="10" t="n">
        <v>384</v>
      </c>
      <c r="G46" s="11" t="n">
        <v>11.2</v>
      </c>
      <c r="H46" s="11" t="n">
        <v>22.3</v>
      </c>
      <c r="I46" s="11" t="n">
        <v>89.2</v>
      </c>
      <c r="J46" s="11"/>
      <c r="K46" s="11"/>
      <c r="L46" s="11"/>
      <c r="M46" s="11" t="n">
        <v>0.35</v>
      </c>
      <c r="N46" s="11"/>
      <c r="O46" s="10" t="n">
        <v>178</v>
      </c>
      <c r="P46" s="10" t="n">
        <v>357</v>
      </c>
      <c r="Q46" s="8" t="s">
        <v>411</v>
      </c>
      <c r="R46" s="10" t="n">
        <v>8</v>
      </c>
      <c r="S46" s="10" t="n">
        <v>496</v>
      </c>
      <c r="T46" s="11" t="n">
        <v>250</v>
      </c>
      <c r="U46" s="12" t="s">
        <v>390</v>
      </c>
      <c r="V46" s="13" t="s">
        <v>391</v>
      </c>
      <c r="W46" s="13" t="s">
        <v>392</v>
      </c>
      <c r="X46" s="13" t="s">
        <v>561</v>
      </c>
      <c r="Y46" s="13" t="s">
        <v>612</v>
      </c>
      <c r="Z46" s="13" t="s">
        <v>613</v>
      </c>
      <c r="AA46" s="13" t="s">
        <v>656</v>
      </c>
      <c r="AB46" s="13" t="s">
        <v>615</v>
      </c>
      <c r="AC46" s="13" t="s">
        <v>657</v>
      </c>
      <c r="AD46" s="13" t="s">
        <v>160</v>
      </c>
      <c r="AE46" s="13" t="s">
        <v>658</v>
      </c>
      <c r="AF46" s="13" t="s">
        <v>549</v>
      </c>
      <c r="AG46" s="13" t="s">
        <v>659</v>
      </c>
      <c r="AH46" s="13" t="s">
        <v>618</v>
      </c>
      <c r="AI46" s="13" t="s">
        <v>619</v>
      </c>
      <c r="AJ46" s="13" t="s">
        <v>53</v>
      </c>
      <c r="AK46" s="13" t="s">
        <v>620</v>
      </c>
      <c r="AL46" s="13" t="s">
        <v>53</v>
      </c>
      <c r="AM46" s="13" t="s">
        <v>621</v>
      </c>
      <c r="AN46" s="13" t="s">
        <v>622</v>
      </c>
      <c r="AO46" s="13" t="s">
        <v>623</v>
      </c>
      <c r="AP46" s="13" t="s">
        <v>624</v>
      </c>
      <c r="AQ46" s="13" t="s">
        <v>640</v>
      </c>
      <c r="AR46" s="13" t="s">
        <v>660</v>
      </c>
    </row>
    <row r="47" customFormat="false" ht="18" hidden="false" customHeight="false" outlineLevel="0" collapsed="false">
      <c r="A47" s="6" t="s">
        <v>661</v>
      </c>
      <c r="B47" s="18" t="s">
        <v>560</v>
      </c>
      <c r="C47" s="8" t="s">
        <v>561</v>
      </c>
      <c r="D47" s="9" t="s">
        <v>188</v>
      </c>
      <c r="E47" s="10" t="n">
        <v>2944</v>
      </c>
      <c r="F47" s="10" t="n">
        <v>368</v>
      </c>
      <c r="G47" s="11" t="n">
        <v>10.6</v>
      </c>
      <c r="H47" s="11" t="n">
        <v>21.2</v>
      </c>
      <c r="I47" s="11" t="n">
        <v>84.8</v>
      </c>
      <c r="J47" s="11"/>
      <c r="K47" s="11"/>
      <c r="L47" s="11"/>
      <c r="M47" s="11" t="n">
        <v>0.33</v>
      </c>
      <c r="N47" s="11"/>
      <c r="O47" s="10" t="n">
        <v>170</v>
      </c>
      <c r="P47" s="10" t="n">
        <v>339</v>
      </c>
      <c r="Q47" s="8" t="s">
        <v>411</v>
      </c>
      <c r="R47" s="10" t="n">
        <v>8</v>
      </c>
      <c r="S47" s="10" t="n">
        <v>448</v>
      </c>
      <c r="T47" s="11" t="n">
        <v>225</v>
      </c>
      <c r="U47" s="12" t="s">
        <v>390</v>
      </c>
      <c r="V47" s="13" t="s">
        <v>391</v>
      </c>
      <c r="W47" s="13" t="s">
        <v>392</v>
      </c>
      <c r="X47" s="13" t="s">
        <v>561</v>
      </c>
      <c r="Y47" s="13" t="s">
        <v>662</v>
      </c>
      <c r="Z47" s="13" t="s">
        <v>359</v>
      </c>
      <c r="AA47" s="13" t="s">
        <v>663</v>
      </c>
      <c r="AB47" s="13" t="s">
        <v>502</v>
      </c>
      <c r="AC47" s="13" t="s">
        <v>547</v>
      </c>
      <c r="AD47" s="13" t="s">
        <v>160</v>
      </c>
      <c r="AE47" s="13" t="s">
        <v>616</v>
      </c>
      <c r="AF47" s="13" t="s">
        <v>549</v>
      </c>
      <c r="AG47" s="13" t="s">
        <v>664</v>
      </c>
      <c r="AH47" s="13" t="s">
        <v>665</v>
      </c>
      <c r="AI47" s="13" t="s">
        <v>666</v>
      </c>
      <c r="AJ47" s="13" t="s">
        <v>53</v>
      </c>
      <c r="AK47" s="13" t="s">
        <v>667</v>
      </c>
      <c r="AL47" s="13" t="s">
        <v>53</v>
      </c>
      <c r="AM47" s="13" t="s">
        <v>668</v>
      </c>
      <c r="AN47" s="13" t="s">
        <v>669</v>
      </c>
      <c r="AO47" s="13" t="s">
        <v>623</v>
      </c>
      <c r="AP47" s="13" t="s">
        <v>624</v>
      </c>
      <c r="AQ47" s="13" t="s">
        <v>593</v>
      </c>
      <c r="AR47" s="13" t="s">
        <v>670</v>
      </c>
    </row>
    <row r="48" customFormat="false" ht="18" hidden="false" customHeight="false" outlineLevel="0" collapsed="false">
      <c r="A48" s="6" t="s">
        <v>671</v>
      </c>
      <c r="B48" s="18" t="s">
        <v>560</v>
      </c>
      <c r="C48" s="8" t="s">
        <v>672</v>
      </c>
      <c r="D48" s="9" t="s">
        <v>188</v>
      </c>
      <c r="E48" s="10" t="n">
        <v>2304</v>
      </c>
      <c r="F48" s="10" t="n">
        <v>288</v>
      </c>
      <c r="G48" s="11" t="n">
        <v>7.5</v>
      </c>
      <c r="H48" s="11" t="n">
        <v>14.9</v>
      </c>
      <c r="I48" s="11" t="n">
        <v>59.7</v>
      </c>
      <c r="J48" s="11"/>
      <c r="K48" s="11"/>
      <c r="L48" s="11"/>
      <c r="M48" s="11" t="n">
        <v>0.23</v>
      </c>
      <c r="N48" s="11"/>
      <c r="O48" s="10" t="n">
        <v>119</v>
      </c>
      <c r="P48" s="10" t="n">
        <v>239</v>
      </c>
      <c r="Q48" s="8" t="s">
        <v>411</v>
      </c>
      <c r="R48" s="10" t="n">
        <v>8</v>
      </c>
      <c r="S48" s="10" t="n">
        <v>448</v>
      </c>
      <c r="T48" s="11" t="n">
        <v>185</v>
      </c>
      <c r="U48" s="12" t="s">
        <v>390</v>
      </c>
      <c r="V48" s="13" t="s">
        <v>391</v>
      </c>
      <c r="W48" s="13" t="s">
        <v>392</v>
      </c>
      <c r="X48" s="13" t="s">
        <v>672</v>
      </c>
      <c r="Y48" s="13" t="s">
        <v>627</v>
      </c>
      <c r="Z48" s="13" t="s">
        <v>485</v>
      </c>
      <c r="AA48" s="13" t="s">
        <v>432</v>
      </c>
      <c r="AB48" s="13" t="s">
        <v>673</v>
      </c>
      <c r="AC48" s="13" t="s">
        <v>547</v>
      </c>
      <c r="AD48" s="13" t="s">
        <v>160</v>
      </c>
      <c r="AE48" s="13" t="s">
        <v>616</v>
      </c>
      <c r="AF48" s="13" t="s">
        <v>549</v>
      </c>
      <c r="AG48" s="13" t="s">
        <v>601</v>
      </c>
      <c r="AH48" s="13" t="s">
        <v>674</v>
      </c>
      <c r="AI48" s="13" t="s">
        <v>675</v>
      </c>
      <c r="AJ48" s="13" t="s">
        <v>53</v>
      </c>
      <c r="AK48" s="13" t="s">
        <v>676</v>
      </c>
      <c r="AL48" s="13" t="s">
        <v>53</v>
      </c>
      <c r="AM48" s="13" t="s">
        <v>677</v>
      </c>
      <c r="AN48" s="13" t="s">
        <v>678</v>
      </c>
      <c r="AO48" s="13" t="s">
        <v>574</v>
      </c>
      <c r="AP48" s="13" t="s">
        <v>679</v>
      </c>
      <c r="AQ48" s="13" t="s">
        <v>593</v>
      </c>
      <c r="AR48" s="13" t="s">
        <v>680</v>
      </c>
    </row>
    <row r="49" customFormat="false" ht="18" hidden="false" customHeight="false" outlineLevel="0" collapsed="false">
      <c r="A49" s="6" t="s">
        <v>681</v>
      </c>
      <c r="B49" s="19" t="s">
        <v>682</v>
      </c>
      <c r="C49" s="8" t="s">
        <v>683</v>
      </c>
      <c r="D49" s="9" t="s">
        <v>47</v>
      </c>
      <c r="E49" s="10" t="n">
        <v>5120</v>
      </c>
      <c r="F49" s="10" t="n">
        <v>640</v>
      </c>
      <c r="G49" s="11" t="n">
        <v>16.4</v>
      </c>
      <c r="H49" s="11" t="n">
        <v>32.8</v>
      </c>
      <c r="I49" s="11" t="n">
        <v>130</v>
      </c>
      <c r="J49" s="11"/>
      <c r="K49" s="11"/>
      <c r="L49" s="11"/>
      <c r="M49" s="11" t="n">
        <v>8.2</v>
      </c>
      <c r="N49" s="11"/>
      <c r="O49" s="10" t="n">
        <v>66</v>
      </c>
      <c r="P49" s="10"/>
      <c r="Q49" s="8" t="s">
        <v>684</v>
      </c>
      <c r="R49" s="10" t="n">
        <v>32</v>
      </c>
      <c r="S49" s="10" t="n">
        <v>1134</v>
      </c>
      <c r="T49" s="11" t="n">
        <v>250</v>
      </c>
      <c r="U49" s="12" t="s">
        <v>685</v>
      </c>
      <c r="V49" s="12" t="s">
        <v>686</v>
      </c>
      <c r="X49" s="13" t="s">
        <v>683</v>
      </c>
      <c r="Y49" s="13" t="s">
        <v>687</v>
      </c>
      <c r="Z49" s="13" t="s">
        <v>688</v>
      </c>
      <c r="AA49" s="13" t="s">
        <v>689</v>
      </c>
      <c r="AB49" s="13" t="s">
        <v>690</v>
      </c>
      <c r="AC49" s="13" t="s">
        <v>691</v>
      </c>
      <c r="AD49" s="13" t="s">
        <v>692</v>
      </c>
      <c r="AE49" s="13" t="s">
        <v>693</v>
      </c>
      <c r="AF49" s="13" t="s">
        <v>694</v>
      </c>
      <c r="AG49" s="13" t="s">
        <v>695</v>
      </c>
      <c r="AH49" s="13" t="s">
        <v>696</v>
      </c>
      <c r="AI49" s="13" t="s">
        <v>697</v>
      </c>
      <c r="AJ49" s="13" t="s">
        <v>53</v>
      </c>
      <c r="AK49" s="13" t="s">
        <v>698</v>
      </c>
      <c r="AL49" s="13" t="s">
        <v>53</v>
      </c>
      <c r="AM49" s="13" t="s">
        <v>699</v>
      </c>
      <c r="AN49" s="13" t="s">
        <v>53</v>
      </c>
      <c r="AO49" s="13" t="s">
        <v>574</v>
      </c>
      <c r="AP49" s="13" t="s">
        <v>700</v>
      </c>
      <c r="AQ49" s="13" t="s">
        <v>604</v>
      </c>
      <c r="AR49" s="13" t="s">
        <v>436</v>
      </c>
    </row>
    <row r="50" customFormat="false" ht="18" hidden="false" customHeight="false" outlineLevel="0" collapsed="false">
      <c r="A50" s="6" t="s">
        <v>701</v>
      </c>
      <c r="B50" s="19" t="s">
        <v>682</v>
      </c>
      <c r="C50" s="8" t="s">
        <v>683</v>
      </c>
      <c r="D50" s="9" t="s">
        <v>47</v>
      </c>
      <c r="E50" s="10" t="n">
        <v>5120</v>
      </c>
      <c r="F50" s="10" t="n">
        <v>640</v>
      </c>
      <c r="G50" s="11" t="n">
        <v>15.7</v>
      </c>
      <c r="H50" s="11" t="n">
        <v>31.4</v>
      </c>
      <c r="I50" s="11" t="n">
        <v>125</v>
      </c>
      <c r="J50" s="11"/>
      <c r="K50" s="11"/>
      <c r="L50" s="11"/>
      <c r="M50" s="11" t="n">
        <v>7.8</v>
      </c>
      <c r="N50" s="11"/>
      <c r="O50" s="10" t="n">
        <v>63</v>
      </c>
      <c r="P50" s="10"/>
      <c r="Q50" s="8" t="s">
        <v>684</v>
      </c>
      <c r="R50" s="10" t="n">
        <v>32</v>
      </c>
      <c r="S50" s="10" t="n">
        <v>900</v>
      </c>
      <c r="T50" s="11" t="n">
        <v>300</v>
      </c>
      <c r="U50" s="12" t="s">
        <v>702</v>
      </c>
      <c r="X50" s="13" t="s">
        <v>683</v>
      </c>
      <c r="Y50" s="13" t="s">
        <v>687</v>
      </c>
      <c r="Z50" s="13" t="s">
        <v>688</v>
      </c>
      <c r="AA50" s="13" t="s">
        <v>438</v>
      </c>
      <c r="AB50" s="13" t="s">
        <v>606</v>
      </c>
      <c r="AC50" s="13" t="s">
        <v>703</v>
      </c>
      <c r="AD50" s="13" t="s">
        <v>692</v>
      </c>
      <c r="AE50" s="13" t="s">
        <v>704</v>
      </c>
      <c r="AF50" s="13" t="s">
        <v>705</v>
      </c>
      <c r="AG50" s="13" t="s">
        <v>706</v>
      </c>
      <c r="AH50" s="13" t="s">
        <v>112</v>
      </c>
      <c r="AI50" s="13" t="s">
        <v>707</v>
      </c>
      <c r="AJ50" s="13" t="s">
        <v>53</v>
      </c>
      <c r="AK50" s="13" t="s">
        <v>708</v>
      </c>
      <c r="AL50" s="13" t="s">
        <v>53</v>
      </c>
      <c r="AM50" s="13" t="s">
        <v>709</v>
      </c>
      <c r="AN50" s="13" t="s">
        <v>53</v>
      </c>
      <c r="AO50" s="13" t="s">
        <v>710</v>
      </c>
      <c r="AP50" s="13" t="s">
        <v>700</v>
      </c>
      <c r="AQ50" s="13" t="s">
        <v>98</v>
      </c>
      <c r="AR50" s="13" t="s">
        <v>153</v>
      </c>
    </row>
    <row r="51" customFormat="false" ht="18" hidden="false" customHeight="false" outlineLevel="0" collapsed="false">
      <c r="A51" s="6" t="s">
        <v>711</v>
      </c>
      <c r="B51" s="19" t="s">
        <v>682</v>
      </c>
      <c r="C51" s="8" t="s">
        <v>683</v>
      </c>
      <c r="D51" s="9" t="s">
        <v>47</v>
      </c>
      <c r="E51" s="10" t="n">
        <v>5120</v>
      </c>
      <c r="F51" s="10" t="n">
        <v>640</v>
      </c>
      <c r="G51" s="11" t="n">
        <v>14.1</v>
      </c>
      <c r="H51" s="11" t="n">
        <v>28.2</v>
      </c>
      <c r="I51" s="11" t="n">
        <v>112</v>
      </c>
      <c r="J51" s="11"/>
      <c r="K51" s="11"/>
      <c r="L51" s="11"/>
      <c r="M51" s="11" t="n">
        <v>7</v>
      </c>
      <c r="N51" s="11"/>
      <c r="O51" s="10" t="n">
        <v>56</v>
      </c>
      <c r="P51" s="10"/>
      <c r="Q51" s="8" t="s">
        <v>684</v>
      </c>
      <c r="R51" s="10" t="n">
        <v>32</v>
      </c>
      <c r="S51" s="10" t="n">
        <v>900</v>
      </c>
      <c r="T51" s="11" t="n">
        <v>250</v>
      </c>
      <c r="U51" s="12" t="s">
        <v>685</v>
      </c>
      <c r="X51" s="13" t="s">
        <v>683</v>
      </c>
      <c r="Y51" s="13" t="s">
        <v>687</v>
      </c>
      <c r="Z51" s="13" t="s">
        <v>688</v>
      </c>
      <c r="AA51" s="13" t="s">
        <v>438</v>
      </c>
      <c r="AB51" s="13" t="s">
        <v>606</v>
      </c>
      <c r="AC51" s="13" t="s">
        <v>703</v>
      </c>
      <c r="AD51" s="13" t="s">
        <v>692</v>
      </c>
      <c r="AE51" s="13" t="s">
        <v>704</v>
      </c>
      <c r="AF51" s="13" t="s">
        <v>705</v>
      </c>
      <c r="AG51" s="13" t="s">
        <v>712</v>
      </c>
      <c r="AH51" s="13" t="s">
        <v>713</v>
      </c>
      <c r="AI51" s="13" t="s">
        <v>714</v>
      </c>
      <c r="AJ51" s="13" t="s">
        <v>53</v>
      </c>
      <c r="AK51" s="13" t="s">
        <v>715</v>
      </c>
      <c r="AL51" s="13" t="s">
        <v>53</v>
      </c>
      <c r="AM51" s="13" t="s">
        <v>716</v>
      </c>
      <c r="AN51" s="13" t="s">
        <v>53</v>
      </c>
      <c r="AO51" s="13" t="s">
        <v>574</v>
      </c>
      <c r="AP51" s="13" t="s">
        <v>700</v>
      </c>
      <c r="AQ51" s="13" t="s">
        <v>604</v>
      </c>
      <c r="AR51" s="13" t="s">
        <v>436</v>
      </c>
    </row>
    <row r="52" customFormat="false" ht="18" hidden="false" customHeight="false" outlineLevel="0" collapsed="false">
      <c r="A52" s="6" t="s">
        <v>717</v>
      </c>
      <c r="B52" s="19" t="s">
        <v>682</v>
      </c>
      <c r="C52" s="8" t="s">
        <v>683</v>
      </c>
      <c r="D52" s="9" t="s">
        <v>188</v>
      </c>
      <c r="E52" s="10" t="n">
        <v>5120</v>
      </c>
      <c r="F52" s="10" t="n">
        <v>640</v>
      </c>
      <c r="G52" s="11" t="n">
        <v>13.8</v>
      </c>
      <c r="H52" s="11" t="n">
        <v>27.6</v>
      </c>
      <c r="I52" s="11" t="n">
        <v>110</v>
      </c>
      <c r="J52" s="11"/>
      <c r="K52" s="11"/>
      <c r="L52" s="11"/>
      <c r="M52" s="11" t="n">
        <v>6.9</v>
      </c>
      <c r="N52" s="11"/>
      <c r="O52" s="10" t="n">
        <v>55</v>
      </c>
      <c r="P52" s="10"/>
      <c r="Q52" s="8" t="s">
        <v>684</v>
      </c>
      <c r="R52" s="10" t="n">
        <v>12</v>
      </c>
      <c r="S52" s="10" t="n">
        <v>652.8</v>
      </c>
      <c r="T52" s="11" t="n">
        <v>250</v>
      </c>
      <c r="U52" s="12" t="s">
        <v>702</v>
      </c>
      <c r="W52" s="12" t="s">
        <v>390</v>
      </c>
      <c r="X52" s="13" t="s">
        <v>683</v>
      </c>
      <c r="Y52" s="13" t="s">
        <v>687</v>
      </c>
      <c r="Z52" s="13" t="s">
        <v>688</v>
      </c>
      <c r="AA52" s="13" t="s">
        <v>718</v>
      </c>
      <c r="AB52" s="13" t="s">
        <v>606</v>
      </c>
      <c r="AC52" s="13" t="s">
        <v>719</v>
      </c>
      <c r="AD52" s="13" t="s">
        <v>468</v>
      </c>
      <c r="AE52" s="13" t="s">
        <v>720</v>
      </c>
      <c r="AF52" s="13" t="s">
        <v>721</v>
      </c>
      <c r="AG52" s="13" t="s">
        <v>722</v>
      </c>
      <c r="AH52" s="13" t="s">
        <v>723</v>
      </c>
      <c r="AI52" s="13" t="s">
        <v>724</v>
      </c>
      <c r="AJ52" s="13" t="s">
        <v>53</v>
      </c>
      <c r="AK52" s="13" t="s">
        <v>725</v>
      </c>
      <c r="AL52" s="13" t="s">
        <v>53</v>
      </c>
      <c r="AM52" s="13" t="s">
        <v>726</v>
      </c>
      <c r="AN52" s="13" t="s">
        <v>53</v>
      </c>
      <c r="AO52" s="13" t="s">
        <v>574</v>
      </c>
      <c r="AP52" s="13" t="s">
        <v>727</v>
      </c>
      <c r="AQ52" s="13" t="s">
        <v>593</v>
      </c>
      <c r="AR52" s="13" t="s">
        <v>728</v>
      </c>
    </row>
    <row r="53" customFormat="false" ht="18" hidden="false" customHeight="false" outlineLevel="0" collapsed="false">
      <c r="A53" s="6" t="s">
        <v>729</v>
      </c>
      <c r="B53" s="19" t="s">
        <v>682</v>
      </c>
      <c r="C53" s="8" t="s">
        <v>683</v>
      </c>
      <c r="D53" s="9" t="s">
        <v>47</v>
      </c>
      <c r="E53" s="10" t="n">
        <v>5120</v>
      </c>
      <c r="F53" s="10" t="n">
        <v>640</v>
      </c>
      <c r="G53" s="11" t="n">
        <v>14.8</v>
      </c>
      <c r="H53" s="11" t="n">
        <v>29.6</v>
      </c>
      <c r="I53" s="11" t="n">
        <v>118.5</v>
      </c>
      <c r="J53" s="11"/>
      <c r="K53" s="11"/>
      <c r="L53" s="11"/>
      <c r="M53" s="11" t="n">
        <v>7.4</v>
      </c>
      <c r="N53" s="11"/>
      <c r="O53" s="10" t="n">
        <v>59</v>
      </c>
      <c r="P53" s="10"/>
      <c r="Q53" s="8" t="s">
        <v>684</v>
      </c>
      <c r="R53" s="10" t="n">
        <v>32</v>
      </c>
      <c r="S53" s="10" t="n">
        <v>870</v>
      </c>
      <c r="T53" s="11" t="n">
        <v>250</v>
      </c>
      <c r="U53" s="12" t="s">
        <v>702</v>
      </c>
      <c r="V53" s="12" t="s">
        <v>390</v>
      </c>
      <c r="W53" s="13" t="s">
        <v>500</v>
      </c>
      <c r="X53" s="13" t="s">
        <v>683</v>
      </c>
      <c r="Y53" s="13" t="s">
        <v>687</v>
      </c>
      <c r="Z53" s="13" t="s">
        <v>688</v>
      </c>
      <c r="AA53" s="13" t="s">
        <v>730</v>
      </c>
      <c r="AB53" s="13" t="s">
        <v>501</v>
      </c>
      <c r="AC53" s="13" t="s">
        <v>719</v>
      </c>
      <c r="AD53" s="13" t="s">
        <v>692</v>
      </c>
      <c r="AE53" s="13" t="s">
        <v>731</v>
      </c>
      <c r="AF53" s="13" t="s">
        <v>694</v>
      </c>
      <c r="AG53" s="13" t="s">
        <v>732</v>
      </c>
      <c r="AH53" s="13" t="s">
        <v>733</v>
      </c>
      <c r="AI53" s="13" t="s">
        <v>734</v>
      </c>
      <c r="AJ53" s="13" t="s">
        <v>53</v>
      </c>
      <c r="AK53" s="13" t="s">
        <v>735</v>
      </c>
      <c r="AL53" s="13" t="s">
        <v>53</v>
      </c>
      <c r="AM53" s="13" t="s">
        <v>736</v>
      </c>
      <c r="AN53" s="13" t="s">
        <v>53</v>
      </c>
      <c r="AO53" s="13" t="s">
        <v>737</v>
      </c>
      <c r="AP53" s="13" t="s">
        <v>727</v>
      </c>
      <c r="AQ53" s="13" t="s">
        <v>593</v>
      </c>
      <c r="AR53" s="13" t="s">
        <v>436</v>
      </c>
    </row>
    <row r="54" customFormat="false" ht="18" hidden="false" customHeight="false" outlineLevel="0" collapsed="false">
      <c r="A54" s="6" t="s">
        <v>738</v>
      </c>
      <c r="B54" s="20" t="s">
        <v>739</v>
      </c>
      <c r="C54" s="8" t="s">
        <v>740</v>
      </c>
      <c r="D54" s="9" t="s">
        <v>47</v>
      </c>
      <c r="E54" s="10" t="n">
        <v>3584</v>
      </c>
      <c r="F54" s="10"/>
      <c r="G54" s="11" t="n">
        <v>10.3</v>
      </c>
      <c r="H54" s="11" t="n">
        <v>20.7</v>
      </c>
      <c r="I54" s="11"/>
      <c r="J54" s="11"/>
      <c r="K54" s="11"/>
      <c r="L54" s="11"/>
      <c r="M54" s="11" t="n">
        <v>5.2</v>
      </c>
      <c r="N54" s="11"/>
      <c r="O54" s="10"/>
      <c r="P54" s="10"/>
      <c r="Q54" s="8" t="s">
        <v>684</v>
      </c>
      <c r="R54" s="10" t="n">
        <v>16</v>
      </c>
      <c r="S54" s="10" t="n">
        <v>717</v>
      </c>
      <c r="T54" s="11" t="n">
        <v>235</v>
      </c>
      <c r="U54" s="12" t="s">
        <v>702</v>
      </c>
      <c r="V54" s="12" t="s">
        <v>390</v>
      </c>
      <c r="W54" s="13" t="s">
        <v>500</v>
      </c>
      <c r="X54" s="13" t="s">
        <v>740</v>
      </c>
      <c r="Y54" s="13" t="s">
        <v>741</v>
      </c>
      <c r="Z54" s="13" t="s">
        <v>53</v>
      </c>
      <c r="AA54" s="13" t="s">
        <v>742</v>
      </c>
      <c r="AB54" s="13" t="s">
        <v>743</v>
      </c>
      <c r="AC54" s="13" t="s">
        <v>719</v>
      </c>
      <c r="AD54" s="13" t="s">
        <v>692</v>
      </c>
      <c r="AE54" s="13" t="s">
        <v>744</v>
      </c>
      <c r="AF54" s="13" t="s">
        <v>568</v>
      </c>
      <c r="AG54" s="13" t="s">
        <v>745</v>
      </c>
      <c r="AH54" s="13" t="s">
        <v>53</v>
      </c>
      <c r="AI54" s="13" t="s">
        <v>472</v>
      </c>
      <c r="AJ54" s="13" t="s">
        <v>53</v>
      </c>
      <c r="AK54" s="13" t="s">
        <v>474</v>
      </c>
      <c r="AL54" s="13" t="s">
        <v>53</v>
      </c>
      <c r="AM54" s="13" t="s">
        <v>53</v>
      </c>
      <c r="AN54" s="13" t="s">
        <v>53</v>
      </c>
      <c r="AO54" s="13" t="s">
        <v>746</v>
      </c>
      <c r="AP54" s="13" t="s">
        <v>747</v>
      </c>
      <c r="AQ54" s="13" t="s">
        <v>593</v>
      </c>
      <c r="AR54" s="13" t="s">
        <v>748</v>
      </c>
    </row>
    <row r="55" customFormat="false" ht="18" hidden="false" customHeight="false" outlineLevel="0" collapsed="false">
      <c r="A55" s="6" t="s">
        <v>749</v>
      </c>
      <c r="B55" s="20" t="s">
        <v>739</v>
      </c>
      <c r="C55" s="8" t="s">
        <v>740</v>
      </c>
      <c r="D55" s="9" t="s">
        <v>47</v>
      </c>
      <c r="E55" s="10" t="n">
        <v>3584</v>
      </c>
      <c r="F55" s="10"/>
      <c r="G55" s="11" t="n">
        <v>10.6</v>
      </c>
      <c r="H55" s="11" t="n">
        <v>21.2</v>
      </c>
      <c r="I55" s="11"/>
      <c r="J55" s="11"/>
      <c r="K55" s="11"/>
      <c r="L55" s="11"/>
      <c r="M55" s="11" t="n">
        <v>5.3</v>
      </c>
      <c r="N55" s="11"/>
      <c r="O55" s="10"/>
      <c r="P55" s="10"/>
      <c r="Q55" s="8" t="s">
        <v>684</v>
      </c>
      <c r="R55" s="10" t="n">
        <v>16</v>
      </c>
      <c r="S55" s="10" t="n">
        <v>732</v>
      </c>
      <c r="T55" s="11" t="n">
        <v>300</v>
      </c>
      <c r="U55" s="12" t="s">
        <v>702</v>
      </c>
      <c r="V55" s="12" t="s">
        <v>390</v>
      </c>
      <c r="X55" s="13" t="s">
        <v>740</v>
      </c>
      <c r="Y55" s="13" t="s">
        <v>741</v>
      </c>
      <c r="Z55" s="13" t="s">
        <v>53</v>
      </c>
      <c r="AA55" s="13" t="s">
        <v>750</v>
      </c>
      <c r="AB55" s="13" t="s">
        <v>751</v>
      </c>
      <c r="AC55" s="13" t="s">
        <v>752</v>
      </c>
      <c r="AD55" s="13" t="s">
        <v>692</v>
      </c>
      <c r="AE55" s="13" t="s">
        <v>753</v>
      </c>
      <c r="AF55" s="13" t="s">
        <v>568</v>
      </c>
      <c r="AG55" s="13" t="s">
        <v>664</v>
      </c>
      <c r="AH55" s="13" t="s">
        <v>53</v>
      </c>
      <c r="AI55" s="13" t="s">
        <v>666</v>
      </c>
      <c r="AJ55" s="13" t="s">
        <v>53</v>
      </c>
      <c r="AK55" s="13" t="s">
        <v>754</v>
      </c>
      <c r="AL55" s="13" t="s">
        <v>53</v>
      </c>
      <c r="AM55" s="13" t="s">
        <v>53</v>
      </c>
      <c r="AN55" s="13" t="s">
        <v>53</v>
      </c>
      <c r="AO55" s="13" t="s">
        <v>755</v>
      </c>
      <c r="AP55" s="13" t="s">
        <v>756</v>
      </c>
      <c r="AQ55" s="13" t="s">
        <v>98</v>
      </c>
      <c r="AR55" s="13" t="s">
        <v>153</v>
      </c>
    </row>
    <row r="56" customFormat="false" ht="18" hidden="false" customHeight="false" outlineLevel="0" collapsed="false">
      <c r="A56" s="6" t="s">
        <v>757</v>
      </c>
      <c r="B56" s="20" t="s">
        <v>739</v>
      </c>
      <c r="C56" s="8" t="s">
        <v>740</v>
      </c>
      <c r="D56" s="9" t="s">
        <v>47</v>
      </c>
      <c r="E56" s="10" t="n">
        <v>3584</v>
      </c>
      <c r="F56" s="10"/>
      <c r="G56" s="11" t="n">
        <v>9.3</v>
      </c>
      <c r="H56" s="11" t="n">
        <v>18.7</v>
      </c>
      <c r="I56" s="11"/>
      <c r="J56" s="11"/>
      <c r="K56" s="11"/>
      <c r="L56" s="11"/>
      <c r="M56" s="11" t="n">
        <v>4.7</v>
      </c>
      <c r="N56" s="11"/>
      <c r="O56" s="10"/>
      <c r="P56" s="10"/>
      <c r="Q56" s="8" t="s">
        <v>684</v>
      </c>
      <c r="R56" s="10" t="n">
        <v>16</v>
      </c>
      <c r="S56" s="10" t="n">
        <v>732</v>
      </c>
      <c r="T56" s="11" t="n">
        <v>250</v>
      </c>
      <c r="U56" s="12" t="s">
        <v>685</v>
      </c>
      <c r="X56" s="13" t="s">
        <v>740</v>
      </c>
      <c r="Y56" s="13" t="s">
        <v>463</v>
      </c>
      <c r="Z56" s="13" t="s">
        <v>53</v>
      </c>
      <c r="AA56" s="13" t="s">
        <v>750</v>
      </c>
      <c r="AB56" s="13" t="s">
        <v>751</v>
      </c>
      <c r="AC56" s="13" t="s">
        <v>752</v>
      </c>
      <c r="AD56" s="13" t="s">
        <v>692</v>
      </c>
      <c r="AE56" s="13" t="s">
        <v>758</v>
      </c>
      <c r="AF56" s="13" t="s">
        <v>759</v>
      </c>
      <c r="AG56" s="13" t="s">
        <v>760</v>
      </c>
      <c r="AH56" s="13" t="s">
        <v>53</v>
      </c>
      <c r="AI56" s="13" t="s">
        <v>761</v>
      </c>
      <c r="AJ56" s="13" t="s">
        <v>53</v>
      </c>
      <c r="AK56" s="13" t="s">
        <v>762</v>
      </c>
      <c r="AL56" s="13" t="s">
        <v>53</v>
      </c>
      <c r="AM56" s="13" t="s">
        <v>53</v>
      </c>
      <c r="AN56" s="13" t="s">
        <v>53</v>
      </c>
      <c r="AO56" s="13" t="s">
        <v>574</v>
      </c>
      <c r="AP56" s="13" t="s">
        <v>756</v>
      </c>
      <c r="AQ56" s="13" t="s">
        <v>604</v>
      </c>
      <c r="AR56" s="13" t="s">
        <v>436</v>
      </c>
    </row>
    <row r="57" customFormat="false" ht="18" hidden="false" customHeight="false" outlineLevel="0" collapsed="false">
      <c r="A57" s="6" t="s">
        <v>763</v>
      </c>
      <c r="B57" s="20" t="s">
        <v>739</v>
      </c>
      <c r="C57" s="8" t="s">
        <v>764</v>
      </c>
      <c r="D57" s="9" t="s">
        <v>47</v>
      </c>
      <c r="E57" s="10" t="n">
        <v>3840</v>
      </c>
      <c r="F57" s="10"/>
      <c r="G57" s="11" t="n">
        <v>12</v>
      </c>
      <c r="H57" s="11" t="n">
        <v>0.18</v>
      </c>
      <c r="I57" s="11"/>
      <c r="J57" s="11"/>
      <c r="K57" s="11"/>
      <c r="L57" s="11"/>
      <c r="M57" s="11" t="n">
        <v>0.36</v>
      </c>
      <c r="N57" s="11"/>
      <c r="O57" s="10" t="n">
        <v>47</v>
      </c>
      <c r="P57" s="10"/>
      <c r="Q57" s="8" t="s">
        <v>684</v>
      </c>
      <c r="R57" s="10" t="n">
        <v>24</v>
      </c>
      <c r="S57" s="10" t="n">
        <v>346</v>
      </c>
      <c r="T57" s="11" t="n">
        <v>250</v>
      </c>
      <c r="U57" s="12" t="s">
        <v>390</v>
      </c>
      <c r="V57" s="12" t="s">
        <v>765</v>
      </c>
      <c r="W57" s="12" t="s">
        <v>766</v>
      </c>
      <c r="X57" s="13" t="s">
        <v>764</v>
      </c>
      <c r="Y57" s="13" t="s">
        <v>767</v>
      </c>
      <c r="Z57" s="13" t="s">
        <v>53</v>
      </c>
      <c r="AA57" s="13" t="s">
        <v>768</v>
      </c>
      <c r="AB57" s="13" t="s">
        <v>769</v>
      </c>
      <c r="AC57" s="13" t="s">
        <v>770</v>
      </c>
      <c r="AD57" s="13" t="s">
        <v>143</v>
      </c>
      <c r="AE57" s="13" t="s">
        <v>771</v>
      </c>
      <c r="AF57" s="13" t="s">
        <v>398</v>
      </c>
      <c r="AG57" s="13" t="s">
        <v>772</v>
      </c>
      <c r="AH57" s="13" t="s">
        <v>53</v>
      </c>
      <c r="AI57" s="13" t="s">
        <v>773</v>
      </c>
      <c r="AJ57" s="13" t="s">
        <v>53</v>
      </c>
      <c r="AK57" s="13" t="s">
        <v>774</v>
      </c>
      <c r="AL57" s="13" t="s">
        <v>53</v>
      </c>
      <c r="AM57" s="13" t="s">
        <v>775</v>
      </c>
      <c r="AN57" s="13" t="s">
        <v>53</v>
      </c>
      <c r="AO57" s="13" t="s">
        <v>574</v>
      </c>
      <c r="AP57" s="13" t="s">
        <v>776</v>
      </c>
      <c r="AQ57" s="13" t="s">
        <v>604</v>
      </c>
      <c r="AR57" s="13" t="s">
        <v>436</v>
      </c>
    </row>
    <row r="58" customFormat="false" ht="18" hidden="false" customHeight="false" outlineLevel="0" collapsed="false">
      <c r="A58" s="6" t="s">
        <v>777</v>
      </c>
      <c r="B58" s="20" t="s">
        <v>739</v>
      </c>
      <c r="C58" s="8" t="s">
        <v>778</v>
      </c>
      <c r="D58" s="9" t="s">
        <v>47</v>
      </c>
      <c r="E58" s="10" t="n">
        <v>2560</v>
      </c>
      <c r="F58" s="10"/>
      <c r="G58" s="11" t="n">
        <v>5.5</v>
      </c>
      <c r="H58" s="11" t="n">
        <v>0.09</v>
      </c>
      <c r="I58" s="11"/>
      <c r="J58" s="11"/>
      <c r="K58" s="11"/>
      <c r="L58" s="11"/>
      <c r="M58" s="11" t="n">
        <v>0.17</v>
      </c>
      <c r="N58" s="11"/>
      <c r="O58" s="10" t="n">
        <v>22</v>
      </c>
      <c r="P58" s="10"/>
      <c r="Q58" s="8" t="s">
        <v>684</v>
      </c>
      <c r="R58" s="10" t="n">
        <v>8</v>
      </c>
      <c r="S58" s="10" t="n">
        <v>192</v>
      </c>
      <c r="T58" s="11" t="n">
        <v>75</v>
      </c>
      <c r="U58" s="12" t="s">
        <v>779</v>
      </c>
      <c r="V58" s="12" t="s">
        <v>780</v>
      </c>
      <c r="X58" s="13" t="s">
        <v>778</v>
      </c>
      <c r="Y58" s="13" t="s">
        <v>563</v>
      </c>
      <c r="Z58" s="13" t="s">
        <v>53</v>
      </c>
      <c r="AA58" s="13" t="s">
        <v>781</v>
      </c>
      <c r="AB58" s="13" t="s">
        <v>782</v>
      </c>
      <c r="AC58" s="13" t="s">
        <v>783</v>
      </c>
      <c r="AD58" s="13" t="s">
        <v>160</v>
      </c>
      <c r="AE58" s="13" t="s">
        <v>784</v>
      </c>
      <c r="AF58" s="13" t="s">
        <v>549</v>
      </c>
      <c r="AG58" s="13" t="s">
        <v>785</v>
      </c>
      <c r="AH58" s="13" t="s">
        <v>53</v>
      </c>
      <c r="AI58" s="13" t="s">
        <v>786</v>
      </c>
      <c r="AJ58" s="13" t="s">
        <v>53</v>
      </c>
      <c r="AK58" s="13" t="s">
        <v>787</v>
      </c>
      <c r="AL58" s="13" t="s">
        <v>53</v>
      </c>
      <c r="AM58" s="13" t="s">
        <v>788</v>
      </c>
      <c r="AN58" s="13" t="s">
        <v>53</v>
      </c>
      <c r="AO58" s="13" t="s">
        <v>574</v>
      </c>
      <c r="AP58" s="13" t="s">
        <v>789</v>
      </c>
      <c r="AQ58" s="13" t="s">
        <v>576</v>
      </c>
      <c r="AR58" s="13" t="s">
        <v>790</v>
      </c>
    </row>
    <row r="59" customFormat="false" ht="18" hidden="false" customHeight="false" outlineLevel="0" collapsed="false">
      <c r="A59" s="6" t="s">
        <v>791</v>
      </c>
      <c r="B59" s="20" t="s">
        <v>739</v>
      </c>
      <c r="C59" s="8" t="s">
        <v>764</v>
      </c>
      <c r="D59" s="9" t="s">
        <v>188</v>
      </c>
      <c r="E59" s="10" t="n">
        <v>3840</v>
      </c>
      <c r="F59" s="10"/>
      <c r="G59" s="11" t="n">
        <v>12.1</v>
      </c>
      <c r="H59" s="11" t="n">
        <v>0.19</v>
      </c>
      <c r="I59" s="11"/>
      <c r="J59" s="11"/>
      <c r="K59" s="11"/>
      <c r="L59" s="11"/>
      <c r="M59" s="11" t="n">
        <v>0.38</v>
      </c>
      <c r="N59" s="11"/>
      <c r="O59" s="10" t="n">
        <v>48</v>
      </c>
      <c r="P59" s="10"/>
      <c r="Q59" s="8" t="s">
        <v>684</v>
      </c>
      <c r="R59" s="10" t="n">
        <v>12</v>
      </c>
      <c r="S59" s="10" t="n">
        <v>547.7</v>
      </c>
      <c r="T59" s="11" t="n">
        <v>250</v>
      </c>
      <c r="U59" s="12" t="s">
        <v>390</v>
      </c>
      <c r="X59" s="13" t="s">
        <v>764</v>
      </c>
      <c r="Y59" s="13" t="s">
        <v>767</v>
      </c>
      <c r="Z59" s="13" t="s">
        <v>53</v>
      </c>
      <c r="AA59" s="13" t="s">
        <v>792</v>
      </c>
      <c r="AB59" s="13" t="s">
        <v>793</v>
      </c>
      <c r="AC59" s="13" t="s">
        <v>794</v>
      </c>
      <c r="AD59" s="13" t="s">
        <v>143</v>
      </c>
      <c r="AE59" s="13" t="s">
        <v>795</v>
      </c>
      <c r="AF59" s="13" t="s">
        <v>721</v>
      </c>
      <c r="AG59" s="13" t="s">
        <v>796</v>
      </c>
      <c r="AH59" s="13" t="s">
        <v>53</v>
      </c>
      <c r="AI59" s="13" t="s">
        <v>773</v>
      </c>
      <c r="AJ59" s="13" t="s">
        <v>53</v>
      </c>
      <c r="AK59" s="13" t="s">
        <v>797</v>
      </c>
      <c r="AL59" s="13" t="s">
        <v>53</v>
      </c>
      <c r="AM59" s="13" t="s">
        <v>798</v>
      </c>
      <c r="AN59" s="13" t="s">
        <v>53</v>
      </c>
      <c r="AO59" s="13" t="s">
        <v>574</v>
      </c>
      <c r="AP59" s="13" t="s">
        <v>776</v>
      </c>
      <c r="AQ59" s="13" t="s">
        <v>593</v>
      </c>
      <c r="AR59" s="13" t="s">
        <v>728</v>
      </c>
    </row>
    <row r="60" customFormat="false" ht="18" hidden="false" customHeight="false" outlineLevel="0" collapsed="false">
      <c r="A60" s="6" t="s">
        <v>799</v>
      </c>
      <c r="B60" s="20" t="s">
        <v>739</v>
      </c>
      <c r="C60" s="8" t="s">
        <v>764</v>
      </c>
      <c r="D60" s="9" t="s">
        <v>188</v>
      </c>
      <c r="E60" s="10" t="n">
        <v>3584</v>
      </c>
      <c r="F60" s="10"/>
      <c r="G60" s="11" t="n">
        <v>11.4</v>
      </c>
      <c r="H60" s="11" t="n">
        <v>0.18</v>
      </c>
      <c r="I60" s="11"/>
      <c r="J60" s="11"/>
      <c r="K60" s="11"/>
      <c r="L60" s="11"/>
      <c r="M60" s="11" t="n">
        <v>0.36</v>
      </c>
      <c r="N60" s="11"/>
      <c r="O60" s="10" t="n">
        <v>45</v>
      </c>
      <c r="P60" s="10"/>
      <c r="Q60" s="8" t="s">
        <v>684</v>
      </c>
      <c r="R60" s="10" t="n">
        <v>11</v>
      </c>
      <c r="S60" s="10" t="n">
        <v>484</v>
      </c>
      <c r="T60" s="11" t="n">
        <v>250</v>
      </c>
      <c r="U60" s="12" t="s">
        <v>800</v>
      </c>
      <c r="X60" s="13" t="s">
        <v>764</v>
      </c>
      <c r="Y60" s="13" t="s">
        <v>463</v>
      </c>
      <c r="Z60" s="13" t="s">
        <v>53</v>
      </c>
      <c r="AA60" s="13" t="s">
        <v>792</v>
      </c>
      <c r="AB60" s="13" t="s">
        <v>793</v>
      </c>
      <c r="AC60" s="13" t="s">
        <v>801</v>
      </c>
      <c r="AD60" s="13" t="s">
        <v>646</v>
      </c>
      <c r="AE60" s="13" t="s">
        <v>802</v>
      </c>
      <c r="AF60" s="13" t="s">
        <v>648</v>
      </c>
      <c r="AG60" s="13" t="s">
        <v>772</v>
      </c>
      <c r="AH60" s="13" t="s">
        <v>53</v>
      </c>
      <c r="AI60" s="13" t="s">
        <v>803</v>
      </c>
      <c r="AJ60" s="13" t="s">
        <v>53</v>
      </c>
      <c r="AK60" s="13" t="s">
        <v>774</v>
      </c>
      <c r="AL60" s="13" t="s">
        <v>53</v>
      </c>
      <c r="AM60" s="13" t="s">
        <v>804</v>
      </c>
      <c r="AN60" s="13" t="s">
        <v>53</v>
      </c>
      <c r="AO60" s="13" t="s">
        <v>574</v>
      </c>
      <c r="AP60" s="13" t="s">
        <v>776</v>
      </c>
      <c r="AQ60" s="13" t="s">
        <v>593</v>
      </c>
      <c r="AR60" s="13" t="s">
        <v>728</v>
      </c>
    </row>
    <row r="61" customFormat="false" ht="18" hidden="false" customHeight="false" outlineLevel="0" collapsed="false">
      <c r="A61" s="6" t="s">
        <v>805</v>
      </c>
      <c r="B61" s="20" t="s">
        <v>739</v>
      </c>
      <c r="C61" s="8" t="s">
        <v>764</v>
      </c>
      <c r="D61" s="9" t="s">
        <v>102</v>
      </c>
      <c r="E61" s="10" t="n">
        <v>3840</v>
      </c>
      <c r="F61" s="10"/>
      <c r="G61" s="11" t="n">
        <v>12</v>
      </c>
      <c r="H61" s="11" t="n">
        <v>0.19</v>
      </c>
      <c r="I61" s="11"/>
      <c r="J61" s="11"/>
      <c r="K61" s="11"/>
      <c r="L61" s="11"/>
      <c r="M61" s="11" t="n">
        <v>0.37</v>
      </c>
      <c r="N61" s="11"/>
      <c r="O61" s="10" t="n">
        <v>48</v>
      </c>
      <c r="P61" s="10"/>
      <c r="Q61" s="8" t="s">
        <v>684</v>
      </c>
      <c r="R61" s="10" t="n">
        <v>24</v>
      </c>
      <c r="S61" s="10" t="n">
        <v>432</v>
      </c>
      <c r="T61" s="11" t="n">
        <v>250</v>
      </c>
      <c r="U61" s="12" t="s">
        <v>390</v>
      </c>
      <c r="V61" s="13" t="s">
        <v>392</v>
      </c>
      <c r="W61" s="13" t="s">
        <v>500</v>
      </c>
      <c r="X61" s="13" t="s">
        <v>764</v>
      </c>
      <c r="Y61" s="13" t="s">
        <v>767</v>
      </c>
      <c r="Z61" s="13" t="s">
        <v>53</v>
      </c>
      <c r="AA61" s="13" t="s">
        <v>806</v>
      </c>
      <c r="AB61" s="13" t="s">
        <v>807</v>
      </c>
      <c r="AC61" s="13" t="s">
        <v>808</v>
      </c>
      <c r="AD61" s="13" t="s">
        <v>143</v>
      </c>
      <c r="AE61" s="13" t="s">
        <v>809</v>
      </c>
      <c r="AF61" s="13" t="s">
        <v>398</v>
      </c>
      <c r="AG61" s="13" t="s">
        <v>796</v>
      </c>
      <c r="AH61" s="13" t="s">
        <v>53</v>
      </c>
      <c r="AI61" s="13" t="s">
        <v>773</v>
      </c>
      <c r="AJ61" s="13" t="s">
        <v>53</v>
      </c>
      <c r="AK61" s="13" t="s">
        <v>810</v>
      </c>
      <c r="AL61" s="13" t="s">
        <v>53</v>
      </c>
      <c r="AM61" s="13" t="s">
        <v>798</v>
      </c>
      <c r="AN61" s="13" t="s">
        <v>53</v>
      </c>
      <c r="AO61" s="13" t="s">
        <v>574</v>
      </c>
      <c r="AP61" s="13" t="s">
        <v>776</v>
      </c>
      <c r="AQ61" s="13" t="s">
        <v>593</v>
      </c>
      <c r="AR61" s="13" t="s">
        <v>436</v>
      </c>
    </row>
    <row r="62" customFormat="false" ht="18" hidden="false" customHeight="false" outlineLevel="0" collapsed="false">
      <c r="A62" s="6" t="s">
        <v>811</v>
      </c>
      <c r="B62" s="20" t="s">
        <v>739</v>
      </c>
      <c r="C62" s="8" t="s">
        <v>778</v>
      </c>
      <c r="D62" s="9" t="s">
        <v>102</v>
      </c>
      <c r="E62" s="10" t="n">
        <v>2560</v>
      </c>
      <c r="F62" s="10"/>
      <c r="G62" s="11" t="n">
        <v>8.9</v>
      </c>
      <c r="H62" s="11" t="n">
        <v>0.14</v>
      </c>
      <c r="I62" s="11"/>
      <c r="J62" s="11"/>
      <c r="K62" s="11"/>
      <c r="L62" s="11"/>
      <c r="M62" s="11" t="n">
        <v>0.28</v>
      </c>
      <c r="N62" s="11"/>
      <c r="O62" s="10" t="n">
        <v>36</v>
      </c>
      <c r="P62" s="10"/>
      <c r="Q62" s="8" t="s">
        <v>684</v>
      </c>
      <c r="R62" s="10" t="n">
        <v>16</v>
      </c>
      <c r="S62" s="10" t="n">
        <v>288</v>
      </c>
      <c r="T62" s="11" t="n">
        <v>180</v>
      </c>
      <c r="U62" s="12" t="s">
        <v>390</v>
      </c>
      <c r="V62" s="13" t="s">
        <v>812</v>
      </c>
      <c r="W62" s="13" t="s">
        <v>392</v>
      </c>
      <c r="X62" s="13" t="s">
        <v>778</v>
      </c>
      <c r="Y62" s="13" t="s">
        <v>563</v>
      </c>
      <c r="Z62" s="13" t="s">
        <v>53</v>
      </c>
      <c r="AA62" s="13" t="s">
        <v>614</v>
      </c>
      <c r="AB62" s="13" t="s">
        <v>813</v>
      </c>
      <c r="AC62" s="13" t="s">
        <v>808</v>
      </c>
      <c r="AD62" s="13" t="s">
        <v>160</v>
      </c>
      <c r="AE62" s="13" t="s">
        <v>814</v>
      </c>
      <c r="AF62" s="13" t="s">
        <v>568</v>
      </c>
      <c r="AG62" s="13" t="s">
        <v>815</v>
      </c>
      <c r="AH62" s="13" t="s">
        <v>53</v>
      </c>
      <c r="AI62" s="13" t="s">
        <v>816</v>
      </c>
      <c r="AJ62" s="13" t="s">
        <v>53</v>
      </c>
      <c r="AK62" s="13" t="s">
        <v>817</v>
      </c>
      <c r="AL62" s="13" t="s">
        <v>53</v>
      </c>
      <c r="AM62" s="13" t="s">
        <v>818</v>
      </c>
      <c r="AN62" s="13" t="s">
        <v>53</v>
      </c>
      <c r="AO62" s="13" t="s">
        <v>574</v>
      </c>
      <c r="AP62" s="13" t="s">
        <v>789</v>
      </c>
      <c r="AQ62" s="13" t="s">
        <v>593</v>
      </c>
      <c r="AR62" s="13" t="s">
        <v>819</v>
      </c>
    </row>
    <row r="63" customFormat="false" ht="18" hidden="false" customHeight="false" outlineLevel="0" collapsed="false">
      <c r="A63" s="6" t="s">
        <v>820</v>
      </c>
      <c r="B63" s="20" t="s">
        <v>739</v>
      </c>
      <c r="C63" s="8" t="s">
        <v>778</v>
      </c>
      <c r="D63" s="9" t="s">
        <v>102</v>
      </c>
      <c r="E63" s="10" t="n">
        <v>1792</v>
      </c>
      <c r="F63" s="10"/>
      <c r="G63" s="11" t="n">
        <v>5.3</v>
      </c>
      <c r="H63" s="11" t="n">
        <v>0.08</v>
      </c>
      <c r="I63" s="11"/>
      <c r="J63" s="11"/>
      <c r="K63" s="11"/>
      <c r="L63" s="11"/>
      <c r="M63" s="11" t="n">
        <v>0.25</v>
      </c>
      <c r="N63" s="11"/>
      <c r="O63" s="10" t="n">
        <v>21</v>
      </c>
      <c r="P63" s="10"/>
      <c r="Q63" s="8" t="s">
        <v>684</v>
      </c>
      <c r="R63" s="10" t="n">
        <v>8</v>
      </c>
      <c r="S63" s="10" t="n">
        <v>243</v>
      </c>
      <c r="T63" s="11" t="n">
        <v>105</v>
      </c>
      <c r="U63" s="13" t="s">
        <v>821</v>
      </c>
      <c r="W63" s="13" t="s">
        <v>392</v>
      </c>
      <c r="X63" s="13" t="s">
        <v>778</v>
      </c>
      <c r="Y63" s="13" t="s">
        <v>822</v>
      </c>
      <c r="Z63" s="13" t="s">
        <v>53</v>
      </c>
      <c r="AA63" s="13" t="s">
        <v>823</v>
      </c>
      <c r="AB63" s="13" t="s">
        <v>824</v>
      </c>
      <c r="AC63" s="13" t="s">
        <v>825</v>
      </c>
      <c r="AD63" s="13" t="s">
        <v>160</v>
      </c>
      <c r="AE63" s="13" t="s">
        <v>826</v>
      </c>
      <c r="AF63" s="13" t="s">
        <v>549</v>
      </c>
      <c r="AG63" s="13" t="s">
        <v>827</v>
      </c>
      <c r="AH63" s="13" t="s">
        <v>53</v>
      </c>
      <c r="AI63" s="13" t="s">
        <v>754</v>
      </c>
      <c r="AJ63" s="13" t="s">
        <v>53</v>
      </c>
      <c r="AK63" s="13" t="s">
        <v>571</v>
      </c>
      <c r="AL63" s="13" t="s">
        <v>53</v>
      </c>
      <c r="AM63" s="13" t="s">
        <v>828</v>
      </c>
      <c r="AN63" s="13" t="s">
        <v>53</v>
      </c>
      <c r="AO63" s="13" t="s">
        <v>574</v>
      </c>
      <c r="AP63" s="13" t="s">
        <v>789</v>
      </c>
      <c r="AQ63" s="13" t="s">
        <v>637</v>
      </c>
      <c r="AR63" s="13" t="s">
        <v>829</v>
      </c>
    </row>
  </sheetData>
  <autoFilter ref="A1:T63"/>
  <conditionalFormatting sqref="E2:E63">
    <cfRule type="dataBar" priority="2">
      <dataBar showValue="1" minLength="10" maxLength="90">
        <cfvo type="min" val="0"/>
        <cfvo type="max" val="0"/>
        <color rgb="FF8DB4E2"/>
      </dataBar>
      <extLst>
        <ext xmlns:x14="http://schemas.microsoft.com/office/spreadsheetml/2009/9/main" uri="{B025F937-C7B1-47D3-B67F-A62EFF666E3E}">
          <x14:id>{FA7BE3D2-E386-4240-8F2B-82D945AC9158}</x14:id>
        </ext>
      </extLst>
    </cfRule>
  </conditionalFormatting>
  <conditionalFormatting sqref="I2:I63">
    <cfRule type="dataBar" priority="3">
      <dataBar showValue="1" minLength="10" maxLength="90">
        <cfvo type="min" val="0"/>
        <cfvo type="max" val="0"/>
        <color rgb="FF76B900"/>
      </dataBar>
      <extLst>
        <ext xmlns:x14="http://schemas.microsoft.com/office/spreadsheetml/2009/9/main" uri="{B025F937-C7B1-47D3-B67F-A62EFF666E3E}">
          <x14:id>{30EC7912-E44D-4A3C-BCE8-261383F39B8A}</x14:id>
        </ext>
      </extLst>
    </cfRule>
  </conditionalFormatting>
  <conditionalFormatting sqref="O2:O63">
    <cfRule type="dataBar" priority="4">
      <dataBar showValue="1" minLength="10" maxLength="90">
        <cfvo type="min" val="0"/>
        <cfvo type="max" val="0"/>
        <color rgb="FFA9D08E"/>
      </dataBar>
      <extLst>
        <ext xmlns:x14="http://schemas.microsoft.com/office/spreadsheetml/2009/9/main" uri="{B025F937-C7B1-47D3-B67F-A62EFF666E3E}">
          <x14:id>{589F474D-331F-4BFD-92FD-FE42C61C2BD9}</x14:id>
        </ext>
      </extLst>
    </cfRule>
  </conditionalFormatting>
  <conditionalFormatting sqref="R2:R63">
    <cfRule type="dataBar" priority="5">
      <dataBar showValue="1" minLength="10" maxLength="90">
        <cfvo type="min" val="0"/>
        <cfvo type="max" val="0"/>
        <color rgb="FFFFC000"/>
      </dataBar>
      <extLst>
        <ext xmlns:x14="http://schemas.microsoft.com/office/spreadsheetml/2009/9/main" uri="{B025F937-C7B1-47D3-B67F-A62EFF666E3E}">
          <x14:id>{27A26E50-5A1E-4563-9B66-C029B8D0B91A}</x14:id>
        </ext>
      </extLst>
    </cfRule>
  </conditionalFormatting>
  <conditionalFormatting sqref="S2:S63">
    <cfRule type="dataBar" priority="6">
      <dataBar showValue="1" minLength="10" maxLength="90">
        <cfvo type="min" val="0"/>
        <cfvo type="max" val="0"/>
        <color rgb="FF9DC3E6"/>
      </dataBar>
      <extLst>
        <ext xmlns:x14="http://schemas.microsoft.com/office/spreadsheetml/2009/9/main" uri="{B025F937-C7B1-47D3-B67F-A62EFF666E3E}">
          <x14:id>{A0B23D9D-8945-4D53-AE58-30FC5216593D}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BE3D2-E386-4240-8F2B-82D945AC9158}">
            <x14:dataBar minLength="10" maxLength="90" axisPosition="none" gradient="true">
              <x14:cfvo type="min"/>
              <x14:cfvo type="max"/>
              <x14:negativeFillColor rgb="FF8DB4E2"/>
              <x14:axisColor rgb="FF000000"/>
            </x14:dataBar>
          </x14:cfRule>
          <xm:sqref>E2:E63</xm:sqref>
        </x14:conditionalFormatting>
        <x14:conditionalFormatting xmlns:xm="http://schemas.microsoft.com/office/excel/2006/main">
          <x14:cfRule type="dataBar" id="{30EC7912-E44D-4A3C-BCE8-261383F39B8A}">
            <x14:dataBar minLength="10" maxLength="90" axisPosition="none" gradient="true">
              <x14:cfvo type="min"/>
              <x14:cfvo type="max"/>
              <x14:negativeFillColor rgb="FF76B900"/>
              <x14:axisColor rgb="FF000000"/>
            </x14:dataBar>
          </x14:cfRule>
          <xm:sqref>I2:I63</xm:sqref>
        </x14:conditionalFormatting>
        <x14:conditionalFormatting xmlns:xm="http://schemas.microsoft.com/office/excel/2006/main">
          <x14:cfRule type="dataBar" id="{589F474D-331F-4BFD-92FD-FE42C61C2BD9}">
            <x14:dataBar minLength="10" maxLength="90" axisPosition="none" gradient="true">
              <x14:cfvo type="min"/>
              <x14:cfvo type="max"/>
              <x14:negativeFillColor rgb="FFA9D08E"/>
              <x14:axisColor rgb="FF000000"/>
            </x14:dataBar>
          </x14:cfRule>
          <xm:sqref>O2:O63</xm:sqref>
        </x14:conditionalFormatting>
        <x14:conditionalFormatting xmlns:xm="http://schemas.microsoft.com/office/excel/2006/main">
          <x14:cfRule type="dataBar" id="{27A26E50-5A1E-4563-9B66-C029B8D0B91A}">
            <x14:dataBar minLength="10" maxLength="90" axisPosition="none" gradient="true">
              <x14:cfvo type="min"/>
              <x14:cfvo type="max"/>
              <x14:negativeFillColor rgb="FFFFC000"/>
              <x14:axisColor rgb="FF000000"/>
            </x14:dataBar>
          </x14:cfRule>
          <xm:sqref>R2:R63</xm:sqref>
        </x14:conditionalFormatting>
        <x14:conditionalFormatting xmlns:xm="http://schemas.microsoft.com/office/excel/2006/main">
          <x14:cfRule type="dataBar" id="{A0B23D9D-8945-4D53-AE58-30FC5216593D}">
            <x14:dataBar minLength="10" maxLength="90" axisPosition="none" gradient="true">
              <x14:cfvo type="min"/>
              <x14:cfvo type="max"/>
              <x14:negativeFillColor rgb="FF9DC3E6"/>
              <x14:axisColor rgb="FF000000"/>
            </x14:dataBar>
          </x14:cfRule>
          <xm:sqref>S2:S63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6B900"/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9765625" defaultRowHeight="16.8" zeroHeight="false" outlineLevelRow="0" outlineLevelCol="0"/>
  <cols>
    <col collapsed="false" customWidth="true" hidden="false" outlineLevel="0" max="1" min="1" style="21" width="3"/>
    <col collapsed="false" customWidth="true" hidden="false" outlineLevel="0" max="2" min="2" style="21" width="34"/>
    <col collapsed="false" customWidth="true" hidden="false" outlineLevel="0" max="8" min="3" style="21" width="24"/>
  </cols>
  <sheetData>
    <row r="2" customFormat="false" ht="21" hidden="false" customHeight="false" outlineLevel="0" collapsed="false">
      <c r="B2" s="22" t="s">
        <v>830</v>
      </c>
      <c r="C2" s="22"/>
      <c r="D2" s="22"/>
      <c r="E2" s="22"/>
      <c r="F2" s="22"/>
      <c r="G2" s="22"/>
      <c r="H2" s="22"/>
    </row>
    <row r="3" customFormat="false" ht="16.8" hidden="false" customHeight="false" outlineLevel="0" collapsed="false">
      <c r="B3" s="23" t="s">
        <v>831</v>
      </c>
      <c r="C3" s="23"/>
      <c r="D3" s="23"/>
      <c r="E3" s="23"/>
      <c r="F3" s="23"/>
      <c r="G3" s="23"/>
      <c r="H3" s="23"/>
    </row>
    <row r="4" customFormat="false" ht="16.8" hidden="false" customHeight="false" outlineLevel="0" collapsed="false">
      <c r="B4" s="23" t="s">
        <v>832</v>
      </c>
      <c r="C4" s="23"/>
      <c r="D4" s="23"/>
      <c r="E4" s="23"/>
      <c r="F4" s="23"/>
      <c r="G4" s="23"/>
      <c r="H4" s="23"/>
    </row>
    <row r="6" customFormat="false" ht="16.8" hidden="false" customHeight="false" outlineLevel="0" collapsed="false">
      <c r="B6" s="24" t="s">
        <v>833</v>
      </c>
      <c r="C6" s="25" t="s">
        <v>69</v>
      </c>
      <c r="D6" s="25" t="s">
        <v>84</v>
      </c>
      <c r="E6" s="25" t="s">
        <v>274</v>
      </c>
      <c r="F6" s="26" t="s">
        <v>44</v>
      </c>
      <c r="G6" s="26"/>
      <c r="H6" s="26"/>
    </row>
    <row r="7" customFormat="false" ht="16.8" hidden="false" customHeight="false" outlineLevel="0" collapsed="false">
      <c r="B7" s="27" t="s">
        <v>834</v>
      </c>
    </row>
    <row r="9" customFormat="false" ht="16.8" hidden="false" customHeight="false" outlineLevel="0" collapsed="false">
      <c r="B9" s="28" t="s">
        <v>835</v>
      </c>
      <c r="C9" s="28" t="str">
        <f aca="false">IF(C$6="","",C$6)</f>
        <v>B300 SXM</v>
      </c>
      <c r="D9" s="28" t="str">
        <f aca="false">IF(D$6="","",D$6)</f>
        <v>B200 SXM</v>
      </c>
      <c r="E9" s="28" t="str">
        <f aca="false">IF(E$6="","",E$6)</f>
        <v>H100 SXM</v>
      </c>
      <c r="F9" s="28" t="str">
        <f aca="false">IF(F$6="","",F$6)</f>
        <v>GB300 NVL72</v>
      </c>
      <c r="G9" s="28" t="str">
        <f aca="false">IF(G$6="","",G$6)</f>
        <v/>
      </c>
      <c r="H9" s="28" t="str">
        <f aca="false">IF(H$6="","",H$6)</f>
        <v/>
      </c>
    </row>
    <row r="10" customFormat="false" ht="30" hidden="false" customHeight="true" outlineLevel="0" collapsed="false">
      <c r="B10" s="29" t="str">
        <f aca="false">速览对比!$U$1</f>
        <v>Target Markets / 目标市场</v>
      </c>
      <c r="C10" s="30" t="str">
        <f aca="false">IF(C$6="","",IFERROR(IF(ISTEXT(INDEX(速览对比!$U$2:$U$63,MATCH(C$6,速览对比!$A$2:$A$63,0))),INDEX(速览对比!$U$2:$U$63,MATCH(C$6,速览对比!$A$2:$A$63,0)),IF(INDEX(速览对比!$U$2:$U$63,MATCH(C$6,速览对比!$A$2:$A$63,0))=0,"",INDEX(速览对比!$U$2:$U$63,MATCH(C$6,速览对比!$A$2:$A$63,0)))),"-"))</f>
        <v>2025年3月GTC发布的Blackwell Ultra架构GPU（GB100双芯粒，TSMC 4NP，2080亿晶体管）：288GB HBM3e显存、8TB/s带宽，FP4稠密算力较B200提升50%，attention吞吐约2倍。面向万亿参数大模型训练、长上下文推理与AI工厂（HGX B300 / DGX B300 / GB300 NVL72），需液冷</v>
      </c>
      <c r="D10" s="30" t="str">
        <f aca="false">IF(D$6="","",IFERROR(IF(ISTEXT(INDEX(速览对比!$U$2:$U$63,MATCH(D$6,速览对比!$A$2:$A$63,0))),INDEX(速览对比!$U$2:$U$63,MATCH(D$6,速览对比!$A$2:$A$63,0)),IF(INDEX(速览对比!$U$2:$U$63,MATCH(D$6,速览对比!$A$2:$A$63,0))=0,"",INDEX(速览对比!$U$2:$U$63,MATCH(D$6,速览对比!$A$2:$A$63,0)))),"-"))</f>
        <v>这是一款采用台积电4NP工艺的GPU，采用NVIDIA Blackwell架构，上市时间为2024年。具有2080亿个晶体管、16896个CUDA核心和192GB HBM3e显存，FP32算力75 TFLOPS，总功耗为1000W。</v>
      </c>
      <c r="E10" s="30" t="str">
        <f aca="false">IF(E$6="","",IFERROR(IF(ISTEXT(INDEX(速览对比!$U$2:$U$63,MATCH(E$6,速览对比!$A$2:$A$63,0))),INDEX(速览对比!$U$2:$U$63,MATCH(E$6,速览对比!$A$2:$A$63,0)),IF(INDEX(速览对比!$U$2:$U$63,MATCH(E$6,速览对比!$A$2:$A$63,0))=0,"",INDEX(速览对比!$U$2:$U$63,MATCH(E$6,速览对比!$A$2:$A$63,0)))),"-"))</f>
        <v>H100 是全球范围内最大的性能出众的加速器，拥有革命性的 Transformer 引擎和高度可扩展的 NVIDIA NVLink® 互连技术等突破性功能，可推动庞大的 AI 语言模型、深度推荐系统、基因组学和复杂数字孪生的发展</v>
      </c>
      <c r="F10" s="30" t="str">
        <f aca="false">IF(F$6="","",IFERROR(IF(ISTEXT(INDEX(速览对比!$U$2:$U$63,MATCH(F$6,速览对比!$A$2:$A$63,0))),INDEX(速览对比!$U$2:$U$63,MATCH(F$6,速览对比!$A$2:$A$63,0)),IF(INDEX(速览对比!$U$2:$U$63,MATCH(F$6,速览对比!$A$2:$A$63,0))=0,"",INDEX(速览对比!$U$2:$U$63,MATCH(F$6,速览对比!$A$2:$A$63,0)))),"-"))</f>
        <v>数据中心（AI 工厂 / 机柜级方案）</v>
      </c>
      <c r="G10" s="30" t="str">
        <f aca="false">IF(G$6="","",IFERROR(IF(ISTEXT(INDEX(速览对比!$U$2:$U$63,MATCH(G$6,速览对比!$A$2:$A$63,0))),INDEX(速览对比!$U$2:$U$63,MATCH(G$6,速览对比!$A$2:$A$63,0)),IF(INDEX(速览对比!$U$2:$U$63,MATCH(G$6,速览对比!$A$2:$A$63,0))=0,"",INDEX(速览对比!$U$2:$U$63,MATCH(G$6,速览对比!$A$2:$A$63,0)))),"-"))</f>
        <v/>
      </c>
      <c r="H10" s="30" t="str">
        <f aca="false">IF(H$6="","",IFERROR(IF(ISTEXT(INDEX(速览对比!$U$2:$U$63,MATCH(H$6,速览对比!$A$2:$A$63,0))),INDEX(速览对比!$U$2:$U$63,MATCH(H$6,速览对比!$A$2:$A$63,0)),IF(INDEX(速览对比!$U$2:$U$63,MATCH(H$6,速览对比!$A$2:$A$63,0))=0,"",INDEX(速览对比!$U$2:$U$63,MATCH(H$6,速览对比!$A$2:$A$63,0)))),"-"))</f>
        <v/>
      </c>
    </row>
    <row r="11" customFormat="false" ht="24" hidden="false" customHeight="true" outlineLevel="0" collapsed="false">
      <c r="B11" s="31" t="s">
        <v>836</v>
      </c>
      <c r="C11" s="30" t="str">
        <f aca="false">IF(C$6="","",IFERROR(IF(ISTEXT(INDEX(速览对比!$V$2:$V$63,MATCH(C$6,速览对比!$A$2:$A$63,0))),INDEX(速览对比!$V$2:$V$63,MATCH(C$6,速览对比!$A$2:$A$63,0)),IF(INDEX(速览对比!$V$2:$V$63,MATCH(C$6,速览对比!$A$2:$A$63,0))=0,"",INDEX(速览对比!$V$2:$V$63,MATCH(C$6,速览对比!$A$2:$A$63,0)))),"-"))</f>
        <v/>
      </c>
      <c r="D11" s="30" t="str">
        <f aca="false">IF(D$6="","",IFERROR(IF(ISTEXT(INDEX(速览对比!$V$2:$V$63,MATCH(D$6,速览对比!$A$2:$A$63,0))),INDEX(速览对比!$V$2:$V$63,MATCH(D$6,速览对比!$A$2:$A$63,0)),IF(INDEX(速览对比!$V$2:$V$63,MATCH(D$6,速览对比!$A$2:$A$63,0))=0,"",INDEX(速览对比!$V$2:$V$63,MATCH(D$6,速览对比!$A$2:$A$63,0)))),"-"))</f>
        <v/>
      </c>
      <c r="E11" s="30" t="str">
        <f aca="false">IF(E$6="","",IFERROR(IF(ISTEXT(INDEX(速览对比!$V$2:$V$63,MATCH(E$6,速览对比!$A$2:$A$63,0))),INDEX(速览对比!$V$2:$V$63,MATCH(E$6,速览对比!$A$2:$A$63,0)),IF(INDEX(速览对比!$V$2:$V$63,MATCH(E$6,速览对比!$A$2:$A$63,0))=0,"",INDEX(速览对比!$V$2:$V$63,MATCH(E$6,速览对比!$A$2:$A$63,0)))),"-"))</f>
        <v/>
      </c>
      <c r="F11" s="30" t="str">
        <f aca="false">IF(F$6="","",IFERROR(IF(ISTEXT(INDEX(速览对比!$V$2:$V$63,MATCH(F$6,速览对比!$A$2:$A$63,0))),INDEX(速览对比!$V$2:$V$63,MATCH(F$6,速览对比!$A$2:$A$63,0)),IF(INDEX(速览对比!$V$2:$V$63,MATCH(F$6,速览对比!$A$2:$A$63,0))=0,"",INDEX(速览对比!$V$2:$V$63,MATCH(F$6,速览对比!$A$2:$A$63,0)))),"-"))</f>
        <v/>
      </c>
      <c r="G11" s="30" t="str">
        <f aca="false">IF(G$6="","",IFERROR(IF(ISTEXT(INDEX(速览对比!$V$2:$V$63,MATCH(G$6,速览对比!$A$2:$A$63,0))),INDEX(速览对比!$V$2:$V$63,MATCH(G$6,速览对比!$A$2:$A$63,0)),IF(INDEX(速览对比!$V$2:$V$63,MATCH(G$6,速览对比!$A$2:$A$63,0))=0,"",INDEX(速览对比!$V$2:$V$63,MATCH(G$6,速览对比!$A$2:$A$63,0)))),"-"))</f>
        <v/>
      </c>
      <c r="H11" s="30" t="str">
        <f aca="false">IF(H$6="","",IFERROR(IF(ISTEXT(INDEX(速览对比!$V$2:$V$63,MATCH(H$6,速览对比!$A$2:$A$63,0))),INDEX(速览对比!$V$2:$V$63,MATCH(H$6,速览对比!$A$2:$A$63,0)),IF(INDEX(速览对比!$V$2:$V$63,MATCH(H$6,速览对比!$A$2:$A$63,0))=0,"",INDEX(速览对比!$V$2:$V$63,MATCH(H$6,速览对比!$A$2:$A$63,0)))),"-"))</f>
        <v/>
      </c>
    </row>
    <row r="12" customFormat="false" ht="24" hidden="false" customHeight="true" outlineLevel="0" collapsed="false">
      <c r="B12" s="31" t="s">
        <v>837</v>
      </c>
      <c r="C12" s="30" t="str">
        <f aca="false">IF(C$6="","",IFERROR(IF(ISTEXT(INDEX(速览对比!$W$2:$W$63,MATCH(C$6,速览对比!$A$2:$A$63,0))),INDEX(速览对比!$W$2:$W$63,MATCH(C$6,速览对比!$A$2:$A$63,0)),IF(INDEX(速览对比!$W$2:$W$63,MATCH(C$6,速览对比!$A$2:$A$63,0))=0,"",INDEX(速览对比!$W$2:$W$63,MATCH(C$6,速览对比!$A$2:$A$63,0)))),"-"))</f>
        <v/>
      </c>
      <c r="D12" s="30" t="str">
        <f aca="false">IF(D$6="","",IFERROR(IF(ISTEXT(INDEX(速览对比!$W$2:$W$63,MATCH(D$6,速览对比!$A$2:$A$63,0))),INDEX(速览对比!$W$2:$W$63,MATCH(D$6,速览对比!$A$2:$A$63,0)),IF(INDEX(速览对比!$W$2:$W$63,MATCH(D$6,速览对比!$A$2:$A$63,0))=0,"",INDEX(速览对比!$W$2:$W$63,MATCH(D$6,速览对比!$A$2:$A$63,0)))),"-"))</f>
        <v/>
      </c>
      <c r="E12" s="30" t="str">
        <f aca="false">IF(E$6="","",IFERROR(IF(ISTEXT(INDEX(速览对比!$W$2:$W$63,MATCH(E$6,速览对比!$A$2:$A$63,0))),INDEX(速览对比!$W$2:$W$63,MATCH(E$6,速览对比!$A$2:$A$63,0)),IF(INDEX(速览对比!$W$2:$W$63,MATCH(E$6,速览对比!$A$2:$A$63,0))=0,"",INDEX(速览对比!$W$2:$W$63,MATCH(E$6,速览对比!$A$2:$A$63,0)))),"-"))</f>
        <v/>
      </c>
      <c r="F12" s="30" t="str">
        <f aca="false">IF(F$6="","",IFERROR(IF(ISTEXT(INDEX(速览对比!$W$2:$W$63,MATCH(F$6,速览对比!$A$2:$A$63,0))),INDEX(速览对比!$W$2:$W$63,MATCH(F$6,速览对比!$A$2:$A$63,0)),IF(INDEX(速览对比!$W$2:$W$63,MATCH(F$6,速览对比!$A$2:$A$63,0))=0,"",INDEX(速览对比!$W$2:$W$63,MATCH(F$6,速览对比!$A$2:$A$63,0)))),"-"))</f>
        <v/>
      </c>
      <c r="G12" s="30" t="str">
        <f aca="false">IF(G$6="","",IFERROR(IF(ISTEXT(INDEX(速览对比!$W$2:$W$63,MATCH(G$6,速览对比!$A$2:$A$63,0))),INDEX(速览对比!$W$2:$W$63,MATCH(G$6,速览对比!$A$2:$A$63,0)),IF(INDEX(速览对比!$W$2:$W$63,MATCH(G$6,速览对比!$A$2:$A$63,0))=0,"",INDEX(速览对比!$W$2:$W$63,MATCH(G$6,速览对比!$A$2:$A$63,0)))),"-"))</f>
        <v/>
      </c>
      <c r="H12" s="30" t="str">
        <f aca="false">IF(H$6="","",IFERROR(IF(ISTEXT(INDEX(速览对比!$W$2:$W$63,MATCH(H$6,速览对比!$A$2:$A$63,0))),INDEX(速览对比!$W$2:$W$63,MATCH(H$6,速览对比!$A$2:$A$63,0)),IF(INDEX(速览对比!$W$2:$W$63,MATCH(H$6,速览对比!$A$2:$A$63,0))=0,"",INDEX(速览对比!$W$2:$W$63,MATCH(H$6,速览对比!$A$2:$A$63,0)))),"-"))</f>
        <v/>
      </c>
    </row>
    <row r="13" customFormat="false" ht="24" hidden="false" customHeight="true" outlineLevel="0" collapsed="false">
      <c r="B13" s="29" t="str">
        <f aca="false">速览对比!$X$1</f>
        <v>GPU / 图形处理单元（架构）</v>
      </c>
      <c r="C13" s="30" t="str">
        <f aca="false">IF(C$6="","",IFERROR(IF(ISTEXT(INDEX(速览对比!$X$2:$X$63,MATCH(C$6,速览对比!$A$2:$A$63,0))),INDEX(速览对比!$X$2:$X$63,MATCH(C$6,速览对比!$A$2:$A$63,0)),IF(INDEX(速览对比!$X$2:$X$63,MATCH(C$6,速览对比!$A$2:$A$63,0))=0,"",INDEX(速览对比!$X$2:$X$63,MATCH(C$6,速览对比!$A$2:$A$63,0)))),"-"))</f>
        <v>GB300（Blackwell Ultra）</v>
      </c>
      <c r="D13" s="30" t="str">
        <f aca="false">IF(D$6="","",IFERROR(IF(ISTEXT(INDEX(速览对比!$X$2:$X$63,MATCH(D$6,速览对比!$A$2:$A$63,0))),INDEX(速览对比!$X$2:$X$63,MATCH(D$6,速览对比!$A$2:$A$63,0)),IF(INDEX(速览对比!$X$2:$X$63,MATCH(D$6,速览对比!$A$2:$A$63,0))=0,"",INDEX(速览对比!$X$2:$X$63,MATCH(D$6,速览对比!$A$2:$A$63,0)))),"-"))</f>
        <v>GB100（Blackwell，双芯粒）</v>
      </c>
      <c r="E13" s="30" t="str">
        <f aca="false">IF(E$6="","",IFERROR(IF(ISTEXT(INDEX(速览对比!$X$2:$X$63,MATCH(E$6,速览对比!$A$2:$A$63,0))),INDEX(速览对比!$X$2:$X$63,MATCH(E$6,速览对比!$A$2:$A$63,0)),IF(INDEX(速览对比!$X$2:$X$63,MATCH(E$6,速览对比!$A$2:$A$63,0))=0,"",INDEX(速览对比!$X$2:$X$63,MATCH(E$6,速览对比!$A$2:$A$63,0)))),"-"))</f>
        <v>GH100（Hopper）</v>
      </c>
      <c r="F13" s="30" t="str">
        <f aca="false">IF(F$6="","",IFERROR(IF(ISTEXT(INDEX(速览对比!$X$2:$X$63,MATCH(F$6,速览对比!$A$2:$A$63,0))),INDEX(速览对比!$X$2:$X$63,MATCH(F$6,速览对比!$A$2:$A$63,0)),IF(INDEX(速览对比!$X$2:$X$63,MATCH(F$6,速览对比!$A$2:$A$63,0))=0,"",INDEX(速览对比!$X$2:$X$63,MATCH(F$6,速览对比!$A$2:$A$63,0)))),"-"))</f>
        <v>GB300（Blackwell Ultra）</v>
      </c>
      <c r="G13" s="30" t="str">
        <f aca="false">IF(G$6="","",IFERROR(IF(ISTEXT(INDEX(速览对比!$X$2:$X$63,MATCH(G$6,速览对比!$A$2:$A$63,0))),INDEX(速览对比!$X$2:$X$63,MATCH(G$6,速览对比!$A$2:$A$63,0)),IF(INDEX(速览对比!$X$2:$X$63,MATCH(G$6,速览对比!$A$2:$A$63,0))=0,"",INDEX(速览对比!$X$2:$X$63,MATCH(G$6,速览对比!$A$2:$A$63,0)))),"-"))</f>
        <v/>
      </c>
      <c r="H13" s="30" t="str">
        <f aca="false">IF(H$6="","",IFERROR(IF(ISTEXT(INDEX(速览对比!$X$2:$X$63,MATCH(H$6,速览对比!$A$2:$A$63,0))),INDEX(速览对比!$X$2:$X$63,MATCH(H$6,速览对比!$A$2:$A$63,0)),IF(INDEX(速览对比!$X$2:$X$63,MATCH(H$6,速览对比!$A$2:$A$63,0))=0,"",INDEX(速览对比!$X$2:$X$63,MATCH(H$6,速览对比!$A$2:$A$63,0)))),"-"))</f>
        <v/>
      </c>
    </row>
    <row r="14" customFormat="false" ht="24" hidden="false" customHeight="true" outlineLevel="0" collapsed="false">
      <c r="B14" s="29" t="str">
        <f aca="false">速览对比!$Y$1</f>
        <v>GPU Cores / CUDA 单元数</v>
      </c>
      <c r="C14" s="30" t="str">
        <f aca="false">IF(C$6="","",IFERROR(IF(ISTEXT(INDEX(速览对比!$Y$2:$Y$63,MATCH(C$6,速览对比!$A$2:$A$63,0))),INDEX(速览对比!$Y$2:$Y$63,MATCH(C$6,速览对比!$A$2:$A$63,0)),IF(INDEX(速览对比!$Y$2:$Y$63,MATCH(C$6,速览对比!$A$2:$A$63,0))=0,"",INDEX(速览对比!$Y$2:$Y$63,MATCH(C$6,速览对比!$A$2:$A$63,0)))),"-"))</f>
        <v>16896</v>
      </c>
      <c r="D14" s="30" t="str">
        <f aca="false">IF(D$6="","",IFERROR(IF(ISTEXT(INDEX(速览对比!$Y$2:$Y$63,MATCH(D$6,速览对比!$A$2:$A$63,0))),INDEX(速览对比!$Y$2:$Y$63,MATCH(D$6,速览对比!$A$2:$A$63,0)),IF(INDEX(速览对比!$Y$2:$Y$63,MATCH(D$6,速览对比!$A$2:$A$63,0))=0,"",INDEX(速览对比!$Y$2:$Y$63,MATCH(D$6,速览对比!$A$2:$A$63,0)))),"-"))</f>
        <v>16896</v>
      </c>
      <c r="E14" s="30" t="str">
        <f aca="false">IF(E$6="","",IFERROR(IF(ISTEXT(INDEX(速览对比!$Y$2:$Y$63,MATCH(E$6,速览对比!$A$2:$A$63,0))),INDEX(速览对比!$Y$2:$Y$63,MATCH(E$6,速览对比!$A$2:$A$63,0)),IF(INDEX(速览对比!$Y$2:$Y$63,MATCH(E$6,速览对比!$A$2:$A$63,0))=0,"",INDEX(速览对比!$Y$2:$Y$63,MATCH(E$6,速览对比!$A$2:$A$63,0)))),"-"))</f>
        <v>16896</v>
      </c>
      <c r="F14" s="30" t="str">
        <f aca="false">IF(F$6="","",IFERROR(IF(ISTEXT(INDEX(速览对比!$Y$2:$Y$63,MATCH(F$6,速览对比!$A$2:$A$63,0))),INDEX(速览对比!$Y$2:$Y$63,MATCH(F$6,速览对比!$A$2:$A$63,0)),IF(INDEX(速览对比!$Y$2:$Y$63,MATCH(F$6,速览对比!$A$2:$A$63,0))=0,"",INDEX(速览对比!$Y$2:$Y$63,MATCH(F$6,速览对比!$A$2:$A$63,0)))),"-"))</f>
        <v>16896（每GPU）</v>
      </c>
      <c r="G14" s="30" t="str">
        <f aca="false">IF(G$6="","",IFERROR(IF(ISTEXT(INDEX(速览对比!$Y$2:$Y$63,MATCH(G$6,速览对比!$A$2:$A$63,0))),INDEX(速览对比!$Y$2:$Y$63,MATCH(G$6,速览对比!$A$2:$A$63,0)),IF(INDEX(速览对比!$Y$2:$Y$63,MATCH(G$6,速览对比!$A$2:$A$63,0))=0,"",INDEX(速览对比!$Y$2:$Y$63,MATCH(G$6,速览对比!$A$2:$A$63,0)))),"-"))</f>
        <v/>
      </c>
      <c r="H14" s="30" t="str">
        <f aca="false">IF(H$6="","",IFERROR(IF(ISTEXT(INDEX(速览对比!$Y$2:$Y$63,MATCH(H$6,速览对比!$A$2:$A$63,0))),INDEX(速览对比!$Y$2:$Y$63,MATCH(H$6,速览对比!$A$2:$A$63,0)),IF(INDEX(速览对比!$Y$2:$Y$63,MATCH(H$6,速览对比!$A$2:$A$63,0))=0,"",INDEX(速览对比!$Y$2:$Y$63,MATCH(H$6,速览对比!$A$2:$A$63,0)))),"-"))</f>
        <v/>
      </c>
    </row>
    <row r="15" customFormat="false" ht="24" hidden="false" customHeight="true" outlineLevel="0" collapsed="false">
      <c r="B15" s="29" t="str">
        <f aca="false">速览对比!$Z$1</f>
        <v>Tensor Cores / Tensor 核数</v>
      </c>
      <c r="C15" s="30" t="str">
        <f aca="false">IF(C$6="","",IFERROR(IF(ISTEXT(INDEX(速览对比!$Z$2:$Z$63,MATCH(C$6,速览对比!$A$2:$A$63,0))),INDEX(速览对比!$Z$2:$Z$63,MATCH(C$6,速览对比!$A$2:$A$63,0)),IF(INDEX(速览对比!$Z$2:$Z$63,MATCH(C$6,速览对比!$A$2:$A$63,0))=0,"",INDEX(速览对比!$Z$2:$Z$63,MATCH(C$6,速览对比!$A$2:$A$63,0)))),"-"))</f>
        <v>528</v>
      </c>
      <c r="D15" s="30" t="str">
        <f aca="false">IF(D$6="","",IFERROR(IF(ISTEXT(INDEX(速览对比!$Z$2:$Z$63,MATCH(D$6,速览对比!$A$2:$A$63,0))),INDEX(速览对比!$Z$2:$Z$63,MATCH(D$6,速览对比!$A$2:$A$63,0)),IF(INDEX(速览对比!$Z$2:$Z$63,MATCH(D$6,速览对比!$A$2:$A$63,0))=0,"",INDEX(速览对比!$Z$2:$Z$63,MATCH(D$6,速览对比!$A$2:$A$63,0)))),"-"))</f>
        <v>528</v>
      </c>
      <c r="E15" s="30" t="str">
        <f aca="false">IF(E$6="","",IFERROR(IF(ISTEXT(INDEX(速览对比!$Z$2:$Z$63,MATCH(E$6,速览对比!$A$2:$A$63,0))),INDEX(速览对比!$Z$2:$Z$63,MATCH(E$6,速览对比!$A$2:$A$63,0)),IF(INDEX(速览对比!$Z$2:$Z$63,MATCH(E$6,速览对比!$A$2:$A$63,0))=0,"",INDEX(速览对比!$Z$2:$Z$63,MATCH(E$6,速览对比!$A$2:$A$63,0)))),"-"))</f>
        <v>528</v>
      </c>
      <c r="F15" s="30" t="str">
        <f aca="false">IF(F$6="","",IFERROR(IF(ISTEXT(INDEX(速览对比!$Z$2:$Z$63,MATCH(F$6,速览对比!$A$2:$A$63,0))),INDEX(速览对比!$Z$2:$Z$63,MATCH(F$6,速览对比!$A$2:$A$63,0)),IF(INDEX(速览对比!$Z$2:$Z$63,MATCH(F$6,速览对比!$A$2:$A$63,0))=0,"",INDEX(速览对比!$Z$2:$Z$63,MATCH(F$6,速览对比!$A$2:$A$63,0)))),"-"))</f>
        <v>528（每GPU）</v>
      </c>
      <c r="G15" s="30" t="str">
        <f aca="false">IF(G$6="","",IFERROR(IF(ISTEXT(INDEX(速览对比!$Z$2:$Z$63,MATCH(G$6,速览对比!$A$2:$A$63,0))),INDEX(速览对比!$Z$2:$Z$63,MATCH(G$6,速览对比!$A$2:$A$63,0)),IF(INDEX(速览对比!$Z$2:$Z$63,MATCH(G$6,速览对比!$A$2:$A$63,0))=0,"",INDEX(速览对比!$Z$2:$Z$63,MATCH(G$6,速览对比!$A$2:$A$63,0)))),"-"))</f>
        <v/>
      </c>
      <c r="H15" s="30" t="str">
        <f aca="false">IF(H$6="","",IFERROR(IF(ISTEXT(INDEX(速览对比!$Z$2:$Z$63,MATCH(H$6,速览对比!$A$2:$A$63,0))),INDEX(速览对比!$Z$2:$Z$63,MATCH(H$6,速览对比!$A$2:$A$63,0)),IF(INDEX(速览对比!$Z$2:$Z$63,MATCH(H$6,速览对比!$A$2:$A$63,0))=0,"",INDEX(速览对比!$Z$2:$Z$63,MATCH(H$6,速览对比!$A$2:$A$63,0)))),"-"))</f>
        <v/>
      </c>
    </row>
    <row r="16" customFormat="false" ht="24" hidden="false" customHeight="true" outlineLevel="0" collapsed="false">
      <c r="B16" s="29" t="str">
        <f aca="false">速览对比!$AA$1</f>
        <v>Core Clock / 基本频率</v>
      </c>
      <c r="C16" s="30" t="str">
        <f aca="false">IF(C$6="","",IFERROR(IF(ISTEXT(INDEX(速览对比!$AA$2:$AA$63,MATCH(C$6,速览对比!$A$2:$A$63,0))),INDEX(速览对比!$AA$2:$AA$63,MATCH(C$6,速览对比!$A$2:$A$63,0)),IF(INDEX(速览对比!$AA$2:$AA$63,MATCH(C$6,速览对比!$A$2:$A$63,0))=0,"",INDEX(速览对比!$AA$2:$AA$63,MATCH(C$6,速览对比!$A$2:$A$63,0)))),"-"))</f>
        <v>-</v>
      </c>
      <c r="D16" s="30" t="str">
        <f aca="false">IF(D$6="","",IFERROR(IF(ISTEXT(INDEX(速览对比!$AA$2:$AA$63,MATCH(D$6,速览对比!$A$2:$A$63,0))),INDEX(速览对比!$AA$2:$AA$63,MATCH(D$6,速览对比!$A$2:$A$63,0)),IF(INDEX(速览对比!$AA$2:$AA$63,MATCH(D$6,速览对比!$A$2:$A$63,0))=0,"",INDEX(速览对比!$AA$2:$AA$63,MATCH(D$6,速览对比!$A$2:$A$63,0)))),"-"))</f>
        <v>1665 MHz</v>
      </c>
      <c r="E16" s="30" t="str">
        <f aca="false">IF(E$6="","",IFERROR(IF(ISTEXT(INDEX(速览对比!$AA$2:$AA$63,MATCH(E$6,速览对比!$A$2:$A$63,0))),INDEX(速览对比!$AA$2:$AA$63,MATCH(E$6,速览对比!$A$2:$A$63,0)),IF(INDEX(速览对比!$AA$2:$AA$63,MATCH(E$6,速览对比!$A$2:$A$63,0))=0,"",INDEX(速览对比!$AA$2:$AA$63,MATCH(E$6,速览对比!$A$2:$A$63,0)))),"-"))</f>
        <v>1590 MHz</v>
      </c>
      <c r="F16" s="30" t="str">
        <f aca="false">IF(F$6="","",IFERROR(IF(ISTEXT(INDEX(速览对比!$AA$2:$AA$63,MATCH(F$6,速览对比!$A$2:$A$63,0))),INDEX(速览对比!$AA$2:$AA$63,MATCH(F$6,速览对比!$A$2:$A$63,0)),IF(INDEX(速览对比!$AA$2:$AA$63,MATCH(F$6,速览对比!$A$2:$A$63,0))=0,"",INDEX(速览对比!$AA$2:$AA$63,MATCH(F$6,速览对比!$A$2:$A$63,0)))),"-"))</f>
        <v>-</v>
      </c>
      <c r="G16" s="30" t="str">
        <f aca="false">IF(G$6="","",IFERROR(IF(ISTEXT(INDEX(速览对比!$AA$2:$AA$63,MATCH(G$6,速览对比!$A$2:$A$63,0))),INDEX(速览对比!$AA$2:$AA$63,MATCH(G$6,速览对比!$A$2:$A$63,0)),IF(INDEX(速览对比!$AA$2:$AA$63,MATCH(G$6,速览对比!$A$2:$A$63,0))=0,"",INDEX(速览对比!$AA$2:$AA$63,MATCH(G$6,速览对比!$A$2:$A$63,0)))),"-"))</f>
        <v/>
      </c>
      <c r="H16" s="30" t="str">
        <f aca="false">IF(H$6="","",IFERROR(IF(ISTEXT(INDEX(速览对比!$AA$2:$AA$63,MATCH(H$6,速览对比!$A$2:$A$63,0))),INDEX(速览对比!$AA$2:$AA$63,MATCH(H$6,速览对比!$A$2:$A$63,0)),IF(INDEX(速览对比!$AA$2:$AA$63,MATCH(H$6,速览对比!$A$2:$A$63,0))=0,"",INDEX(速览对比!$AA$2:$AA$63,MATCH(H$6,速览对比!$A$2:$A$63,0)))),"-"))</f>
        <v/>
      </c>
    </row>
    <row r="17" customFormat="false" ht="24" hidden="false" customHeight="true" outlineLevel="0" collapsed="false">
      <c r="B17" s="29" t="str">
        <f aca="false">速览对比!$AB$1</f>
        <v>Boost Clock(s) / 超频频率</v>
      </c>
      <c r="C17" s="30" t="str">
        <f aca="false">IF(C$6="","",IFERROR(IF(ISTEXT(INDEX(速览对比!$AB$2:$AB$63,MATCH(C$6,速览对比!$A$2:$A$63,0))),INDEX(速览对比!$AB$2:$AB$63,MATCH(C$6,速览对比!$A$2:$A$63,0)),IF(INDEX(速览对比!$AB$2:$AB$63,MATCH(C$6,速览对比!$A$2:$A$63,0))=0,"",INDEX(速览对比!$AB$2:$AB$63,MATCH(C$6,速览对比!$A$2:$A$63,0)))),"-"))</f>
        <v>-</v>
      </c>
      <c r="D17" s="30" t="str">
        <f aca="false">IF(D$6="","",IFERROR(IF(ISTEXT(INDEX(速览对比!$AB$2:$AB$63,MATCH(D$6,速览对比!$A$2:$A$63,0))),INDEX(速览对比!$AB$2:$AB$63,MATCH(D$6,速览对比!$A$2:$A$63,0)),IF(INDEX(速览对比!$AB$2:$AB$63,MATCH(D$6,速览对比!$A$2:$A$63,0))=0,"",INDEX(速览对比!$AB$2:$AB$63,MATCH(D$6,速览对比!$A$2:$A$63,0)))),"-"))</f>
        <v>1837 MHz</v>
      </c>
      <c r="E17" s="30" t="str">
        <f aca="false">IF(E$6="","",IFERROR(IF(ISTEXT(INDEX(速览对比!$AB$2:$AB$63,MATCH(E$6,速览对比!$A$2:$A$63,0))),INDEX(速览对比!$AB$2:$AB$63,MATCH(E$6,速览对比!$A$2:$A$63,0)),IF(INDEX(速览对比!$AB$2:$AB$63,MATCH(E$6,速览对比!$A$2:$A$63,0))=0,"",INDEX(速览对比!$AB$2:$AB$63,MATCH(E$6,速览对比!$A$2:$A$63,0)))),"-"))</f>
        <v>1980 MHz</v>
      </c>
      <c r="F17" s="30" t="str">
        <f aca="false">IF(F$6="","",IFERROR(IF(ISTEXT(INDEX(速览对比!$AB$2:$AB$63,MATCH(F$6,速览对比!$A$2:$A$63,0))),INDEX(速览对比!$AB$2:$AB$63,MATCH(F$6,速览对比!$A$2:$A$63,0)),IF(INDEX(速览对比!$AB$2:$AB$63,MATCH(F$6,速览对比!$A$2:$A$63,0))=0,"",INDEX(速览对比!$AB$2:$AB$63,MATCH(F$6,速览对比!$A$2:$A$63,0)))),"-"))</f>
        <v>-</v>
      </c>
      <c r="G17" s="30" t="str">
        <f aca="false">IF(G$6="","",IFERROR(IF(ISTEXT(INDEX(速览对比!$AB$2:$AB$63,MATCH(G$6,速览对比!$A$2:$A$63,0))),INDEX(速览对比!$AB$2:$AB$63,MATCH(G$6,速览对比!$A$2:$A$63,0)),IF(INDEX(速览对比!$AB$2:$AB$63,MATCH(G$6,速览对比!$A$2:$A$63,0))=0,"",INDEX(速览对比!$AB$2:$AB$63,MATCH(G$6,速览对比!$A$2:$A$63,0)))),"-"))</f>
        <v/>
      </c>
      <c r="H17" s="30" t="str">
        <f aca="false">IF(H$6="","",IFERROR(IF(ISTEXT(INDEX(速览对比!$AB$2:$AB$63,MATCH(H$6,速览对比!$A$2:$A$63,0))),INDEX(速览对比!$AB$2:$AB$63,MATCH(H$6,速览对比!$A$2:$A$63,0)),IF(INDEX(速览对比!$AB$2:$AB$63,MATCH(H$6,速览对比!$A$2:$A$63,0))=0,"",INDEX(速览对比!$AB$2:$AB$63,MATCH(H$6,速览对比!$A$2:$A$63,0)))),"-"))</f>
        <v/>
      </c>
    </row>
    <row r="18" customFormat="false" ht="24" hidden="false" customHeight="true" outlineLevel="0" collapsed="false">
      <c r="B18" s="29" t="str">
        <f aca="false">速览对比!$AC$1</f>
        <v>Memory Clock / 显存频率</v>
      </c>
      <c r="C18" s="30" t="str">
        <f aca="false">IF(C$6="","",IFERROR(IF(ISTEXT(INDEX(速览对比!$AC$2:$AC$63,MATCH(C$6,速览对比!$A$2:$A$63,0))),INDEX(速览对比!$AC$2:$AC$63,MATCH(C$6,速览对比!$A$2:$A$63,0)),IF(INDEX(速览对比!$AC$2:$AC$63,MATCH(C$6,速览对比!$A$2:$A$63,0))=0,"",INDEX(速览对比!$AC$2:$AC$63,MATCH(C$6,速览对比!$A$2:$A$63,0)))),"-"))</f>
        <v>HBM3e</v>
      </c>
      <c r="D18" s="30" t="str">
        <f aca="false">IF(D$6="","",IFERROR(IF(ISTEXT(INDEX(速览对比!$AC$2:$AC$63,MATCH(D$6,速览对比!$A$2:$A$63,0))),INDEX(速览对比!$AC$2:$AC$63,MATCH(D$6,速览对比!$A$2:$A$63,0)),IF(INDEX(速览对比!$AC$2:$AC$63,MATCH(D$6,速览对比!$A$2:$A$63,0))=0,"",INDEX(速览对比!$AC$2:$AC$63,MATCH(D$6,速览对比!$A$2:$A$63,0)))),"-"))</f>
        <v>2000 MHz</v>
      </c>
      <c r="E18" s="30" t="str">
        <f aca="false">IF(E$6="","",IFERROR(IF(ISTEXT(INDEX(速览对比!$AC$2:$AC$63,MATCH(E$6,速览对比!$A$2:$A$63,0))),INDEX(速览对比!$AC$2:$AC$63,MATCH(E$6,速览对比!$A$2:$A$63,0)),IF(INDEX(速览对比!$AC$2:$AC$63,MATCH(E$6,速览对比!$A$2:$A$63,0))=0,"",INDEX(速览对比!$AC$2:$AC$63,MATCH(E$6,速览对比!$A$2:$A$63,0)))),"-"))</f>
        <v>2.6 GHz HBM3</v>
      </c>
      <c r="F18" s="30" t="str">
        <f aca="false">IF(F$6="","",IFERROR(IF(ISTEXT(INDEX(速览对比!$AC$2:$AC$63,MATCH(F$6,速览对比!$A$2:$A$63,0))),INDEX(速览对比!$AC$2:$AC$63,MATCH(F$6,速览对比!$A$2:$A$63,0)),IF(INDEX(速览对比!$AC$2:$AC$63,MATCH(F$6,速览对比!$A$2:$A$63,0))=0,"",INDEX(速览对比!$AC$2:$AC$63,MATCH(F$6,速览对比!$A$2:$A$63,0)))),"-"))</f>
        <v>HBM3e</v>
      </c>
      <c r="G18" s="30" t="str">
        <f aca="false">IF(G$6="","",IFERROR(IF(ISTEXT(INDEX(速览对比!$AC$2:$AC$63,MATCH(G$6,速览对比!$A$2:$A$63,0))),INDEX(速览对比!$AC$2:$AC$63,MATCH(G$6,速览对比!$A$2:$A$63,0)),IF(INDEX(速览对比!$AC$2:$AC$63,MATCH(G$6,速览对比!$A$2:$A$63,0))=0,"",INDEX(速览对比!$AC$2:$AC$63,MATCH(G$6,速览对比!$A$2:$A$63,0)))),"-"))</f>
        <v/>
      </c>
      <c r="H18" s="30" t="str">
        <f aca="false">IF(H$6="","",IFERROR(IF(ISTEXT(INDEX(速览对比!$AC$2:$AC$63,MATCH(H$6,速览对比!$A$2:$A$63,0))),INDEX(速览对比!$AC$2:$AC$63,MATCH(H$6,速览对比!$A$2:$A$63,0)),IF(INDEX(速览对比!$AC$2:$AC$63,MATCH(H$6,速览对比!$A$2:$A$63,0))=0,"",INDEX(速览对比!$AC$2:$AC$63,MATCH(H$6,速览对比!$A$2:$A$63,0)))),"-"))</f>
        <v/>
      </c>
    </row>
    <row r="19" customFormat="false" ht="24" hidden="false" customHeight="true" outlineLevel="0" collapsed="false">
      <c r="B19" s="29" t="str">
        <f aca="false">速览对比!$AD$1</f>
        <v>Memory Bus Width / 显存位宽</v>
      </c>
      <c r="C19" s="30" t="str">
        <f aca="false">IF(C$6="","",IFERROR(IF(ISTEXT(INDEX(速览对比!$AD$2:$AD$63,MATCH(C$6,速览对比!$A$2:$A$63,0))),INDEX(速览对比!$AD$2:$AD$63,MATCH(C$6,速览对比!$A$2:$A$63,0)),IF(INDEX(速览对比!$AD$2:$AD$63,MATCH(C$6,速览对比!$A$2:$A$63,0))=0,"",INDEX(速览对比!$AD$2:$AD$63,MATCH(C$6,速览对比!$A$2:$A$63,0)))),"-"))</f>
        <v>8192-bit</v>
      </c>
      <c r="D19" s="30" t="str">
        <f aca="false">IF(D$6="","",IFERROR(IF(ISTEXT(INDEX(速览对比!$AD$2:$AD$63,MATCH(D$6,速览对比!$A$2:$A$63,0))),INDEX(速览对比!$AD$2:$AD$63,MATCH(D$6,速览对比!$A$2:$A$63,0)),IF(INDEX(速览对比!$AD$2:$AD$63,MATCH(D$6,速览对比!$A$2:$A$63,0))=0,"",INDEX(速览对比!$AD$2:$AD$63,MATCH(D$6,速览对比!$A$2:$A$63,0)))),"-"))</f>
        <v>2*4096bit</v>
      </c>
      <c r="E19" s="30" t="str">
        <f aca="false">IF(E$6="","",IFERROR(IF(ISTEXT(INDEX(速览对比!$AD$2:$AD$63,MATCH(E$6,速览对比!$A$2:$A$63,0))),INDEX(速览对比!$AD$2:$AD$63,MATCH(E$6,速览对比!$A$2:$A$63,0)),IF(INDEX(速览对比!$AD$2:$AD$63,MATCH(E$6,速览对比!$A$2:$A$63,0))=0,"",INDEX(速览对比!$AD$2:$AD$63,MATCH(E$6,速览对比!$A$2:$A$63,0)))),"-"))</f>
        <v>5120 bit</v>
      </c>
      <c r="F19" s="30" t="str">
        <f aca="false">IF(F$6="","",IFERROR(IF(ISTEXT(INDEX(速览对比!$AD$2:$AD$63,MATCH(F$6,速览对比!$A$2:$A$63,0))),INDEX(速览对比!$AD$2:$AD$63,MATCH(F$6,速览对比!$A$2:$A$63,0)),IF(INDEX(速览对比!$AD$2:$AD$63,MATCH(F$6,速览对比!$A$2:$A$63,0))=0,"",INDEX(速览对比!$AD$2:$AD$63,MATCH(F$6,速览对比!$A$2:$A$63,0)))),"-"))</f>
        <v>8192-bit</v>
      </c>
      <c r="G19" s="30" t="str">
        <f aca="false">IF(G$6="","",IFERROR(IF(ISTEXT(INDEX(速览对比!$AD$2:$AD$63,MATCH(G$6,速览对比!$A$2:$A$63,0))),INDEX(速览对比!$AD$2:$AD$63,MATCH(G$6,速览对比!$A$2:$A$63,0)),IF(INDEX(速览对比!$AD$2:$AD$63,MATCH(G$6,速览对比!$A$2:$A$63,0))=0,"",INDEX(速览对比!$AD$2:$AD$63,MATCH(G$6,速览对比!$A$2:$A$63,0)))),"-"))</f>
        <v/>
      </c>
      <c r="H19" s="30" t="str">
        <f aca="false">IF(H$6="","",IFERROR(IF(ISTEXT(INDEX(速览对比!$AD$2:$AD$63,MATCH(H$6,速览对比!$A$2:$A$63,0))),INDEX(速览对比!$AD$2:$AD$63,MATCH(H$6,速览对比!$A$2:$A$63,0)),IF(INDEX(速览对比!$AD$2:$AD$63,MATCH(H$6,速览对比!$A$2:$A$63,0))=0,"",INDEX(速览对比!$AD$2:$AD$63,MATCH(H$6,速览对比!$A$2:$A$63,0)))),"-"))</f>
        <v/>
      </c>
    </row>
    <row r="20" customFormat="false" ht="24" hidden="false" customHeight="true" outlineLevel="0" collapsed="false">
      <c r="B20" s="29" t="str">
        <f aca="false">速览对比!$AE$1</f>
        <v>Memory Bandwidth / 显存带宽</v>
      </c>
      <c r="C20" s="30" t="str">
        <f aca="false">IF(C$6="","",IFERROR(IF(ISTEXT(INDEX(速览对比!$AE$2:$AE$63,MATCH(C$6,速览对比!$A$2:$A$63,0))),INDEX(速览对比!$AE$2:$AE$63,MATCH(C$6,速览对比!$A$2:$A$63,0)),IF(INDEX(速览对比!$AE$2:$AE$63,MATCH(C$6,速览对比!$A$2:$A$63,0))=0,"",INDEX(速览对比!$AE$2:$AE$63,MATCH(C$6,速览对比!$A$2:$A$63,0)))),"-"))</f>
        <v>8 TB/s</v>
      </c>
      <c r="D20" s="30" t="str">
        <f aca="false">IF(D$6="","",IFERROR(IF(ISTEXT(INDEX(速览对比!$AE$2:$AE$63,MATCH(D$6,速览对比!$A$2:$A$63,0))),INDEX(速览对比!$AE$2:$AE$63,MATCH(D$6,速览对比!$A$2:$A$63,0)),IF(INDEX(速览对比!$AE$2:$AE$63,MATCH(D$6,速览对比!$A$2:$A$63,0))=0,"",INDEX(速览对比!$AE$2:$AE$63,MATCH(D$6,速览对比!$A$2:$A$63,0)))),"-"))</f>
        <v>8 TB/s</v>
      </c>
      <c r="E20" s="30" t="str">
        <f aca="false">IF(E$6="","",IFERROR(IF(ISTEXT(INDEX(速览对比!$AE$2:$AE$63,MATCH(E$6,速览对比!$A$2:$A$63,0))),INDEX(速览对比!$AE$2:$AE$63,MATCH(E$6,速览对比!$A$2:$A$63,0)),IF(INDEX(速览对比!$AE$2:$AE$63,MATCH(E$6,速览对比!$A$2:$A$63,0))=0,"",INDEX(速览对比!$AE$2:$AE$63,MATCH(E$6,速览对比!$A$2:$A$63,0)))),"-"))</f>
        <v>3.35TB/s</v>
      </c>
      <c r="F20" s="30" t="str">
        <f aca="false">IF(F$6="","",IFERROR(IF(ISTEXT(INDEX(速览对比!$AE$2:$AE$63,MATCH(F$6,速览对比!$A$2:$A$63,0))),INDEX(速览对比!$AE$2:$AE$63,MATCH(F$6,速览对比!$A$2:$A$63,0)),IF(INDEX(速览对比!$AE$2:$AE$63,MATCH(F$6,速览对比!$A$2:$A$63,0))=0,"",INDEX(速览对比!$AE$2:$AE$63,MATCH(F$6,速览对比!$A$2:$A$63,0)))),"-"))</f>
        <v>8 TB/s</v>
      </c>
      <c r="G20" s="30" t="str">
        <f aca="false">IF(G$6="","",IFERROR(IF(ISTEXT(INDEX(速览对比!$AE$2:$AE$63,MATCH(G$6,速览对比!$A$2:$A$63,0))),INDEX(速览对比!$AE$2:$AE$63,MATCH(G$6,速览对比!$A$2:$A$63,0)),IF(INDEX(速览对比!$AE$2:$AE$63,MATCH(G$6,速览对比!$A$2:$A$63,0))=0,"",INDEX(速览对比!$AE$2:$AE$63,MATCH(G$6,速览对比!$A$2:$A$63,0)))),"-"))</f>
        <v/>
      </c>
      <c r="H20" s="30" t="str">
        <f aca="false">IF(H$6="","",IFERROR(IF(ISTEXT(INDEX(速览对比!$AE$2:$AE$63,MATCH(H$6,速览对比!$A$2:$A$63,0))),INDEX(速览对比!$AE$2:$AE$63,MATCH(H$6,速览对比!$A$2:$A$63,0)),IF(INDEX(速览对比!$AE$2:$AE$63,MATCH(H$6,速览对比!$A$2:$A$63,0))=0,"",INDEX(速览对比!$AE$2:$AE$63,MATCH(H$6,速览对比!$A$2:$A$63,0)))),"-"))</f>
        <v/>
      </c>
    </row>
    <row r="21" customFormat="false" ht="24" hidden="false" customHeight="true" outlineLevel="0" collapsed="false">
      <c r="B21" s="29" t="str">
        <f aca="false">速览对比!$AF$1</f>
        <v>VRAM / 显存</v>
      </c>
      <c r="C21" s="30" t="str">
        <f aca="false">IF(C$6="","",IFERROR(IF(ISTEXT(INDEX(速览对比!$AF$2:$AF$63,MATCH(C$6,速览对比!$A$2:$A$63,0))),INDEX(速览对比!$AF$2:$AF$63,MATCH(C$6,速览对比!$A$2:$A$63,0)),IF(INDEX(速览对比!$AF$2:$AF$63,MATCH(C$6,速览对比!$A$2:$A$63,0))=0,"",INDEX(速览对比!$AF$2:$AF$63,MATCH(C$6,速览对比!$A$2:$A$63,0)))),"-"))</f>
        <v>288 GB HBM3e</v>
      </c>
      <c r="D21" s="30" t="str">
        <f aca="false">IF(D$6="","",IFERROR(IF(ISTEXT(INDEX(速览对比!$AF$2:$AF$63,MATCH(D$6,速览对比!$A$2:$A$63,0))),INDEX(速览对比!$AF$2:$AF$63,MATCH(D$6,速览对比!$A$2:$A$63,0)),IF(INDEX(速览对比!$AF$2:$AF$63,MATCH(D$6,速览对比!$A$2:$A$63,0))=0,"",INDEX(速览对比!$AF$2:$AF$63,MATCH(D$6,速览对比!$A$2:$A$63,0)))),"-"))</f>
        <v>2*96GB HBM3e=192GB</v>
      </c>
      <c r="E21" s="30" t="str">
        <f aca="false">IF(E$6="","",IFERROR(IF(ISTEXT(INDEX(速览对比!$AF$2:$AF$63,MATCH(E$6,速览对比!$A$2:$A$63,0))),INDEX(速览对比!$AF$2:$AF$63,MATCH(E$6,速览对比!$A$2:$A$63,0)),IF(INDEX(速览对比!$AF$2:$AF$63,MATCH(E$6,速览对比!$A$2:$A$63,0))=0,"",INDEX(速览对比!$AF$2:$AF$63,MATCH(E$6,速览对比!$A$2:$A$63,0)))),"-"))</f>
        <v>80GB</v>
      </c>
      <c r="F21" s="30" t="str">
        <f aca="false">IF(F$6="","",IFERROR(IF(ISTEXT(INDEX(速览对比!$AF$2:$AF$63,MATCH(F$6,速览对比!$A$2:$A$63,0))),INDEX(速览对比!$AF$2:$AF$63,MATCH(F$6,速览对比!$A$2:$A$63,0)),IF(INDEX(速览对比!$AF$2:$AF$63,MATCH(F$6,速览对比!$A$2:$A$63,0))=0,"",INDEX(速览对比!$AF$2:$AF$63,MATCH(F$6,速览对比!$A$2:$A$63,0)))),"-"))</f>
        <v>288 GB HBM3e（每GPU）</v>
      </c>
      <c r="G21" s="30" t="str">
        <f aca="false">IF(G$6="","",IFERROR(IF(ISTEXT(INDEX(速览对比!$AF$2:$AF$63,MATCH(G$6,速览对比!$A$2:$A$63,0))),INDEX(速览对比!$AF$2:$AF$63,MATCH(G$6,速览对比!$A$2:$A$63,0)),IF(INDEX(速览对比!$AF$2:$AF$63,MATCH(G$6,速览对比!$A$2:$A$63,0))=0,"",INDEX(速览对比!$AF$2:$AF$63,MATCH(G$6,速览对比!$A$2:$A$63,0)))),"-"))</f>
        <v/>
      </c>
      <c r="H21" s="30" t="str">
        <f aca="false">IF(H$6="","",IFERROR(IF(ISTEXT(INDEX(速览对比!$AF$2:$AF$63,MATCH(H$6,速览对比!$A$2:$A$63,0))),INDEX(速览对比!$AF$2:$AF$63,MATCH(H$6,速览对比!$A$2:$A$63,0)),IF(INDEX(速览对比!$AF$2:$AF$63,MATCH(H$6,速览对比!$A$2:$A$63,0))=0,"",INDEX(速览对比!$AF$2:$AF$63,MATCH(H$6,速览对比!$A$2:$A$63,0)))),"-"))</f>
        <v/>
      </c>
    </row>
    <row r="22" customFormat="false" ht="24" hidden="false" customHeight="true" outlineLevel="0" collapsed="false">
      <c r="B22" s="29" t="str">
        <f aca="false">速览对比!$AG$1</f>
        <v>FP16 Computing (non-Tensor) / 半精性能 non-Tensor</v>
      </c>
      <c r="C22" s="30" t="str">
        <f aca="false">IF(C$6="","",IFERROR(IF(ISTEXT(INDEX(速览对比!$AG$2:$AG$63,MATCH(C$6,速览对比!$A$2:$A$63,0))),INDEX(速览对比!$AG$2:$AG$63,MATCH(C$6,速览对比!$A$2:$A$63,0)),IF(INDEX(速览对比!$AG$2:$AG$63,MATCH(C$6,速览对比!$A$2:$A$63,0))=0,"",INDEX(速览对比!$AG$2:$AG$63,MATCH(C$6,速览对比!$A$2:$A$63,0)))),"-"))</f>
        <v>≈150 TFLOPS</v>
      </c>
      <c r="D22" s="30" t="str">
        <f aca="false">IF(D$6="","",IFERROR(IF(ISTEXT(INDEX(速览对比!$AG$2:$AG$63,MATCH(D$6,速览对比!$A$2:$A$63,0))),INDEX(速览对比!$AG$2:$AG$63,MATCH(D$6,速览对比!$A$2:$A$63,0)),IF(INDEX(速览对比!$AG$2:$AG$63,MATCH(D$6,速览对比!$A$2:$A$63,0))=0,"",INDEX(速览对比!$AG$2:$AG$63,MATCH(D$6,速览对比!$A$2:$A$63,0)))),"-"))</f>
        <v>≈150 TFLOPS</v>
      </c>
      <c r="E22" s="30" t="str">
        <f aca="false">IF(E$6="","",IFERROR(IF(ISTEXT(INDEX(速览对比!$AG$2:$AG$63,MATCH(E$6,速览对比!$A$2:$A$63,0))),INDEX(速览对比!$AG$2:$AG$63,MATCH(E$6,速览对比!$A$2:$A$63,0)),IF(INDEX(速览对比!$AG$2:$AG$63,MATCH(E$6,速览对比!$A$2:$A$63,0))=0,"",INDEX(速览对比!$AG$2:$AG$63,MATCH(E$6,速览对比!$A$2:$A$63,0)))),"-"))</f>
        <v>267.6 TFLOPS</v>
      </c>
      <c r="F22" s="30" t="str">
        <f aca="false">IF(F$6="","",IFERROR(IF(ISTEXT(INDEX(速览对比!$AG$2:$AG$63,MATCH(F$6,速览对比!$A$2:$A$63,0))),INDEX(速览对比!$AG$2:$AG$63,MATCH(F$6,速览对比!$A$2:$A$63,0)),IF(INDEX(速览对比!$AG$2:$AG$63,MATCH(F$6,速览对比!$A$2:$A$63,0))=0,"",INDEX(速览对比!$AG$2:$AG$63,MATCH(F$6,速览对比!$A$2:$A$63,0)))),"-"))</f>
        <v>≈166 TFLOPS</v>
      </c>
      <c r="G22" s="30" t="str">
        <f aca="false">IF(G$6="","",IFERROR(IF(ISTEXT(INDEX(速览对比!$AG$2:$AG$63,MATCH(G$6,速览对比!$A$2:$A$63,0))),INDEX(速览对比!$AG$2:$AG$63,MATCH(G$6,速览对比!$A$2:$A$63,0)),IF(INDEX(速览对比!$AG$2:$AG$63,MATCH(G$6,速览对比!$A$2:$A$63,0))=0,"",INDEX(速览对比!$AG$2:$AG$63,MATCH(G$6,速览对比!$A$2:$A$63,0)))),"-"))</f>
        <v/>
      </c>
      <c r="H22" s="30" t="str">
        <f aca="false">IF(H$6="","",IFERROR(IF(ISTEXT(INDEX(速览对比!$AG$2:$AG$63,MATCH(H$6,速览对比!$A$2:$A$63,0))),INDEX(速览对比!$AG$2:$AG$63,MATCH(H$6,速览对比!$A$2:$A$63,0)),IF(INDEX(速览对比!$AG$2:$AG$63,MATCH(H$6,速览对比!$A$2:$A$63,0))=0,"",INDEX(速览对比!$AG$2:$AG$63,MATCH(H$6,速览对比!$A$2:$A$63,0)))),"-"))</f>
        <v/>
      </c>
    </row>
    <row r="23" customFormat="false" ht="24" hidden="false" customHeight="true" outlineLevel="0" collapsed="false">
      <c r="B23" s="29" t="str">
        <f aca="false">速览对比!$AH$1</f>
        <v>FP16 Tensor Computing/ 半精 Tensor性能</v>
      </c>
      <c r="C23" s="30" t="str">
        <f aca="false">IF(C$6="","",IFERROR(IF(ISTEXT(INDEX(速览对比!$AH$2:$AH$63,MATCH(C$6,速览对比!$A$2:$A$63,0))),INDEX(速览对比!$AH$2:$AH$63,MATCH(C$6,速览对比!$A$2:$A$63,0)),IF(INDEX(速览对比!$AH$2:$AH$63,MATCH(C$6,速览对比!$A$2:$A$63,0))=0,"",INDEX(速览对比!$AH$2:$AH$63,MATCH(C$6,速览对比!$A$2:$A$63,0)))),"-"))</f>
        <v>2,250 | 4,500 TFLOPS²</v>
      </c>
      <c r="D23" s="30" t="str">
        <f aca="false">IF(D$6="","",IFERROR(IF(ISTEXT(INDEX(速览对比!$AH$2:$AH$63,MATCH(D$6,速览对比!$A$2:$A$63,0))),INDEX(速览对比!$AH$2:$AH$63,MATCH(D$6,速览对比!$A$2:$A$63,0)),IF(INDEX(速览对比!$AH$2:$AH$63,MATCH(D$6,速览对比!$A$2:$A$63,0))=0,"",INDEX(速览对比!$AH$2:$AH$63,MATCH(D$6,速览对比!$A$2:$A$63,0)))),"-"))</f>
        <v>2,250 | 4,500 TFLOPS²</v>
      </c>
      <c r="E23" s="30" t="str">
        <f aca="false">IF(E$6="","",IFERROR(IF(ISTEXT(INDEX(速览对比!$AH$2:$AH$63,MATCH(E$6,速览对比!$A$2:$A$63,0))),INDEX(速览对比!$AH$2:$AH$63,MATCH(E$6,速览对比!$A$2:$A$63,0)),IF(INDEX(速览对比!$AH$2:$AH$63,MATCH(E$6,速览对比!$A$2:$A$63,0))=0,"",INDEX(速览对比!$AH$2:$AH$63,MATCH(E$6,速览对比!$A$2:$A$63,0)))),"-"))</f>
        <v>989 | 1,979 TFLOPS²</v>
      </c>
      <c r="F23" s="30" t="str">
        <f aca="false">IF(F$6="","",IFERROR(IF(ISTEXT(INDEX(速览对比!$AH$2:$AH$63,MATCH(F$6,速览对比!$A$2:$A$63,0))),INDEX(速览对比!$AH$2:$AH$63,MATCH(F$6,速览对比!$A$2:$A$63,0)),IF(INDEX(速览对比!$AH$2:$AH$63,MATCH(F$6,速览对比!$A$2:$A$63,0))=0,"",INDEX(速览对比!$AH$2:$AH$63,MATCH(F$6,速览对比!$A$2:$A$63,0)))),"-"))</f>
        <v>≈2,500 | ≈5,000 TFLOPS²</v>
      </c>
      <c r="G23" s="30" t="str">
        <f aca="false">IF(G$6="","",IFERROR(IF(ISTEXT(INDEX(速览对比!$AH$2:$AH$63,MATCH(G$6,速览对比!$A$2:$A$63,0))),INDEX(速览对比!$AH$2:$AH$63,MATCH(G$6,速览对比!$A$2:$A$63,0)),IF(INDEX(速览对比!$AH$2:$AH$63,MATCH(G$6,速览对比!$A$2:$A$63,0))=0,"",INDEX(速览对比!$AH$2:$AH$63,MATCH(G$6,速览对比!$A$2:$A$63,0)))),"-"))</f>
        <v/>
      </c>
      <c r="H23" s="30" t="str">
        <f aca="false">IF(H$6="","",IFERROR(IF(ISTEXT(INDEX(速览对比!$AH$2:$AH$63,MATCH(H$6,速览对比!$A$2:$A$63,0))),INDEX(速览对比!$AH$2:$AH$63,MATCH(H$6,速览对比!$A$2:$A$63,0)),IF(INDEX(速览对比!$AH$2:$AH$63,MATCH(H$6,速览对比!$A$2:$A$63,0))=0,"",INDEX(速览对比!$AH$2:$AH$63,MATCH(H$6,速览对比!$A$2:$A$63,0)))),"-"))</f>
        <v/>
      </c>
    </row>
    <row r="24" customFormat="false" ht="24" hidden="false" customHeight="true" outlineLevel="0" collapsed="false">
      <c r="B24" s="29" t="str">
        <f aca="false">速览对比!$AI$1</f>
        <v>FP32 Computing (non-Tensor) / 单精性能 non-Tensor</v>
      </c>
      <c r="C24" s="30" t="str">
        <f aca="false">IF(C$6="","",IFERROR(IF(ISTEXT(INDEX(速览对比!$AI$2:$AI$63,MATCH(C$6,速览对比!$A$2:$A$63,0))),INDEX(速览对比!$AI$2:$AI$63,MATCH(C$6,速览对比!$A$2:$A$63,0)),IF(INDEX(速览对比!$AI$2:$AI$63,MATCH(C$6,速览对比!$A$2:$A$63,0))=0,"",INDEX(速览对比!$AI$2:$AI$63,MATCH(C$6,速览对比!$A$2:$A$63,0)))),"-"))</f>
        <v>75 TFLOPS</v>
      </c>
      <c r="D24" s="30" t="str">
        <f aca="false">IF(D$6="","",IFERROR(IF(ISTEXT(INDEX(速览对比!$AI$2:$AI$63,MATCH(D$6,速览对比!$A$2:$A$63,0))),INDEX(速览对比!$AI$2:$AI$63,MATCH(D$6,速览对比!$A$2:$A$63,0)),IF(INDEX(速览对比!$AI$2:$AI$63,MATCH(D$6,速览对比!$A$2:$A$63,0))=0,"",INDEX(速览对比!$AI$2:$AI$63,MATCH(D$6,速览对比!$A$2:$A$63,0)))),"-"))</f>
        <v>75 TFLOPS</v>
      </c>
      <c r="E24" s="30" t="str">
        <f aca="false">IF(E$6="","",IFERROR(IF(ISTEXT(INDEX(速览对比!$AI$2:$AI$63,MATCH(E$6,速览对比!$A$2:$A$63,0))),INDEX(速览对比!$AI$2:$AI$63,MATCH(E$6,速览对比!$A$2:$A$63,0)),IF(INDEX(速览对比!$AI$2:$AI$63,MATCH(E$6,速览对比!$A$2:$A$63,0))=0,"",INDEX(速览对比!$AI$2:$AI$63,MATCH(E$6,速览对比!$A$2:$A$63,0)))),"-"))</f>
        <v>67 TFLOPS</v>
      </c>
      <c r="F24" s="30" t="str">
        <f aca="false">IF(F$6="","",IFERROR(IF(ISTEXT(INDEX(速览对比!$AI$2:$AI$63,MATCH(F$6,速览对比!$A$2:$A$63,0))),INDEX(速览对比!$AI$2:$AI$63,MATCH(F$6,速览对比!$A$2:$A$63,0)),IF(INDEX(速览对比!$AI$2:$AI$63,MATCH(F$6,速览对比!$A$2:$A$63,0))=0,"",INDEX(速览对比!$AI$2:$AI$63,MATCH(F$6,速览对比!$A$2:$A$63,0)))),"-"))</f>
        <v>≈83 TFLOPS</v>
      </c>
      <c r="G24" s="30" t="str">
        <f aca="false">IF(G$6="","",IFERROR(IF(ISTEXT(INDEX(速览对比!$AI$2:$AI$63,MATCH(G$6,速览对比!$A$2:$A$63,0))),INDEX(速览对比!$AI$2:$AI$63,MATCH(G$6,速览对比!$A$2:$A$63,0)),IF(INDEX(速览对比!$AI$2:$AI$63,MATCH(G$6,速览对比!$A$2:$A$63,0))=0,"",INDEX(速览对比!$AI$2:$AI$63,MATCH(G$6,速览对比!$A$2:$A$63,0)))),"-"))</f>
        <v/>
      </c>
      <c r="H24" s="30" t="str">
        <f aca="false">IF(H$6="","",IFERROR(IF(ISTEXT(INDEX(速览对比!$AI$2:$AI$63,MATCH(H$6,速览对比!$A$2:$A$63,0))),INDEX(速览对比!$AI$2:$AI$63,MATCH(H$6,速览对比!$A$2:$A$63,0)),IF(INDEX(速览对比!$AI$2:$AI$63,MATCH(H$6,速览对比!$A$2:$A$63,0))=0,"",INDEX(速览对比!$AI$2:$AI$63,MATCH(H$6,速览对比!$A$2:$A$63,0)))),"-"))</f>
        <v/>
      </c>
    </row>
    <row r="25" customFormat="false" ht="24" hidden="false" customHeight="true" outlineLevel="0" collapsed="false">
      <c r="B25" s="29" t="str">
        <f aca="false">速览对比!$AJ$1</f>
        <v>TF32 Tensor Computing / TF32 Tensor性能</v>
      </c>
      <c r="C25" s="30" t="str">
        <f aca="false">IF(C$6="","",IFERROR(IF(ISTEXT(INDEX(速览对比!$AJ$2:$AJ$63,MATCH(C$6,速览对比!$A$2:$A$63,0))),INDEX(速览对比!$AJ$2:$AJ$63,MATCH(C$6,速览对比!$A$2:$A$63,0)),IF(INDEX(速览对比!$AJ$2:$AJ$63,MATCH(C$6,速览对比!$A$2:$A$63,0))=0,"",INDEX(速览对比!$AJ$2:$AJ$63,MATCH(C$6,速览对比!$A$2:$A$63,0)))),"-"))</f>
        <v>1,125 | 2,250 TFLOPS²</v>
      </c>
      <c r="D25" s="30" t="str">
        <f aca="false">IF(D$6="","",IFERROR(IF(ISTEXT(INDEX(速览对比!$AJ$2:$AJ$63,MATCH(D$6,速览对比!$A$2:$A$63,0))),INDEX(速览对比!$AJ$2:$AJ$63,MATCH(D$6,速览对比!$A$2:$A$63,0)),IF(INDEX(速览对比!$AJ$2:$AJ$63,MATCH(D$6,速览对比!$A$2:$A$63,0))=0,"",INDEX(速览对比!$AJ$2:$AJ$63,MATCH(D$6,速览对比!$A$2:$A$63,0)))),"-"))</f>
        <v>1,125 | 2,250 TFLOPS²</v>
      </c>
      <c r="E25" s="30" t="str">
        <f aca="false">IF(E$6="","",IFERROR(IF(ISTEXT(INDEX(速览对比!$AJ$2:$AJ$63,MATCH(E$6,速览对比!$A$2:$A$63,0))),INDEX(速览对比!$AJ$2:$AJ$63,MATCH(E$6,速览对比!$A$2:$A$63,0)),IF(INDEX(速览对比!$AJ$2:$AJ$63,MATCH(E$6,速览对比!$A$2:$A$63,0))=0,"",INDEX(速览对比!$AJ$2:$AJ$63,MATCH(E$6,速览对比!$A$2:$A$63,0)))),"-"))</f>
        <v>494 | 989 TFLOPS²</v>
      </c>
      <c r="F25" s="30" t="str">
        <f aca="false">IF(F$6="","",IFERROR(IF(ISTEXT(INDEX(速览对比!$AJ$2:$AJ$63,MATCH(F$6,速览对比!$A$2:$A$63,0))),INDEX(速览对比!$AJ$2:$AJ$63,MATCH(F$6,速览对比!$A$2:$A$63,0)),IF(INDEX(速览对比!$AJ$2:$AJ$63,MATCH(F$6,速览对比!$A$2:$A$63,0))=0,"",INDEX(速览对比!$AJ$2:$AJ$63,MATCH(F$6,速览对比!$A$2:$A$63,0)))),"-"))</f>
        <v>≈1,250 | ≈2,500 TFLOPS²</v>
      </c>
      <c r="G25" s="30" t="str">
        <f aca="false">IF(G$6="","",IFERROR(IF(ISTEXT(INDEX(速览对比!$AJ$2:$AJ$63,MATCH(G$6,速览对比!$A$2:$A$63,0))),INDEX(速览对比!$AJ$2:$AJ$63,MATCH(G$6,速览对比!$A$2:$A$63,0)),IF(INDEX(速览对比!$AJ$2:$AJ$63,MATCH(G$6,速览对比!$A$2:$A$63,0))=0,"",INDEX(速览对比!$AJ$2:$AJ$63,MATCH(G$6,速览对比!$A$2:$A$63,0)))),"-"))</f>
        <v/>
      </c>
      <c r="H25" s="30" t="str">
        <f aca="false">IF(H$6="","",IFERROR(IF(ISTEXT(INDEX(速览对比!$AJ$2:$AJ$63,MATCH(H$6,速览对比!$A$2:$A$63,0))),INDEX(速览对比!$AJ$2:$AJ$63,MATCH(H$6,速览对比!$A$2:$A$63,0)),IF(INDEX(速览对比!$AJ$2:$AJ$63,MATCH(H$6,速览对比!$A$2:$A$63,0))=0,"",INDEX(速览对比!$AJ$2:$AJ$63,MATCH(H$6,速览对比!$A$2:$A$63,0)))),"-"))</f>
        <v/>
      </c>
    </row>
    <row r="26" customFormat="false" ht="24" hidden="false" customHeight="true" outlineLevel="0" collapsed="false">
      <c r="B26" s="29" t="str">
        <f aca="false">速览对比!$AK$1</f>
        <v>FP64 Computing (non-Tensor) / 双精性能 non-Tensor</v>
      </c>
      <c r="C26" s="30" t="str">
        <f aca="false">IF(C$6="","",IFERROR(IF(ISTEXT(INDEX(速览对比!$AK$2:$AK$63,MATCH(C$6,速览对比!$A$2:$A$63,0))),INDEX(速览对比!$AK$2:$AK$63,MATCH(C$6,速览对比!$A$2:$A$63,0)),IF(INDEX(速览对比!$AK$2:$AK$63,MATCH(C$6,速览对比!$A$2:$A$63,0))=0,"",INDEX(速览对比!$AK$2:$AK$63,MATCH(C$6,速览对比!$A$2:$A$63,0)))),"-"))</f>
        <v>≈1.25 TFLOPS</v>
      </c>
      <c r="D26" s="30" t="str">
        <f aca="false">IF(D$6="","",IFERROR(IF(ISTEXT(INDEX(速览对比!$AK$2:$AK$63,MATCH(D$6,速览对比!$A$2:$A$63,0))),INDEX(速览对比!$AK$2:$AK$63,MATCH(D$6,速览对比!$A$2:$A$63,0)),IF(INDEX(速览对比!$AK$2:$AK$63,MATCH(D$6,速览对比!$A$2:$A$63,0))=0,"",INDEX(速览对比!$AK$2:$AK$63,MATCH(D$6,速览对比!$A$2:$A$63,0)))),"-"))</f>
        <v>37 TFLOPS</v>
      </c>
      <c r="E26" s="30" t="str">
        <f aca="false">IF(E$6="","",IFERROR(IF(ISTEXT(INDEX(速览对比!$AK$2:$AK$63,MATCH(E$6,速览对比!$A$2:$A$63,0))),INDEX(速览对比!$AK$2:$AK$63,MATCH(E$6,速览对比!$A$2:$A$63,0)),IF(INDEX(速览对比!$AK$2:$AK$63,MATCH(E$6,速览对比!$A$2:$A$63,0))=0,"",INDEX(速览对比!$AK$2:$AK$63,MATCH(E$6,速览对比!$A$2:$A$63,0)))),"-"))</f>
        <v>34 TFLOPS</v>
      </c>
      <c r="F26" s="30" t="str">
        <f aca="false">IF(F$6="","",IFERROR(IF(ISTEXT(INDEX(速览对比!$AK$2:$AK$63,MATCH(F$6,速览对比!$A$2:$A$63,0))),INDEX(速览对比!$AK$2:$AK$63,MATCH(F$6,速览对比!$A$2:$A$63,0)),IF(INDEX(速览对比!$AK$2:$AK$63,MATCH(F$6,速览对比!$A$2:$A$63,0))=0,"",INDEX(速览对比!$AK$2:$AK$63,MATCH(F$6,速览对比!$A$2:$A$63,0)))),"-"))</f>
        <v>≈1.4 TFLOPS</v>
      </c>
      <c r="G26" s="30" t="str">
        <f aca="false">IF(G$6="","",IFERROR(IF(ISTEXT(INDEX(速览对比!$AK$2:$AK$63,MATCH(G$6,速览对比!$A$2:$A$63,0))),INDEX(速览对比!$AK$2:$AK$63,MATCH(G$6,速览对比!$A$2:$A$63,0)),IF(INDEX(速览对比!$AK$2:$AK$63,MATCH(G$6,速览对比!$A$2:$A$63,0))=0,"",INDEX(速览对比!$AK$2:$AK$63,MATCH(G$6,速览对比!$A$2:$A$63,0)))),"-"))</f>
        <v/>
      </c>
      <c r="H26" s="30" t="str">
        <f aca="false">IF(H$6="","",IFERROR(IF(ISTEXT(INDEX(速览对比!$AK$2:$AK$63,MATCH(H$6,速览对比!$A$2:$A$63,0))),INDEX(速览对比!$AK$2:$AK$63,MATCH(H$6,速览对比!$A$2:$A$63,0)),IF(INDEX(速览对比!$AK$2:$AK$63,MATCH(H$6,速览对比!$A$2:$A$63,0))=0,"",INDEX(速览对比!$AK$2:$AK$63,MATCH(H$6,速览对比!$A$2:$A$63,0)))),"-"))</f>
        <v/>
      </c>
    </row>
    <row r="27" customFormat="false" ht="24" hidden="false" customHeight="true" outlineLevel="0" collapsed="false">
      <c r="B27" s="29" t="str">
        <f aca="false">速览对比!$AL$1</f>
        <v>FP64 Tensor Computing / FP64 Tensor性能</v>
      </c>
      <c r="C27" s="30" t="str">
        <f aca="false">IF(C$6="","",IFERROR(IF(ISTEXT(INDEX(速览对比!$AL$2:$AL$63,MATCH(C$6,速览对比!$A$2:$A$63,0))),INDEX(速览对比!$AL$2:$AL$63,MATCH(C$6,速览对比!$A$2:$A$63,0)),IF(INDEX(速览对比!$AL$2:$AL$63,MATCH(C$6,速览对比!$A$2:$A$63,0))=0,"",INDEX(速览对比!$AL$2:$AL$63,MATCH(C$6,速览对比!$A$2:$A$63,0)))),"-"))</f>
        <v>≈1.25 TFLOPS</v>
      </c>
      <c r="D27" s="30" t="str">
        <f aca="false">IF(D$6="","",IFERROR(IF(ISTEXT(INDEX(速览对比!$AL$2:$AL$63,MATCH(D$6,速览对比!$A$2:$A$63,0))),INDEX(速览对比!$AL$2:$AL$63,MATCH(D$6,速览对比!$A$2:$A$63,0)),IF(INDEX(速览对比!$AL$2:$AL$63,MATCH(D$6,速览对比!$A$2:$A$63,0))=0,"",INDEX(速览对比!$AL$2:$AL$63,MATCH(D$6,速览对比!$A$2:$A$63,0)))),"-"))</f>
        <v>37 TFLOPS</v>
      </c>
      <c r="E27" s="30" t="str">
        <f aca="false">IF(E$6="","",IFERROR(IF(ISTEXT(INDEX(速览对比!$AL$2:$AL$63,MATCH(E$6,速览对比!$A$2:$A$63,0))),INDEX(速览对比!$AL$2:$AL$63,MATCH(E$6,速览对比!$A$2:$A$63,0)),IF(INDEX(速览对比!$AL$2:$AL$63,MATCH(E$6,速览对比!$A$2:$A$63,0))=0,"",INDEX(速览对比!$AL$2:$AL$63,MATCH(E$6,速览对比!$A$2:$A$63,0)))),"-"))</f>
        <v>67 TFLOPS</v>
      </c>
      <c r="F27" s="30" t="str">
        <f aca="false">IF(F$6="","",IFERROR(IF(ISTEXT(INDEX(速览对比!$AL$2:$AL$63,MATCH(F$6,速览对比!$A$2:$A$63,0))),INDEX(速览对比!$AL$2:$AL$63,MATCH(F$6,速览对比!$A$2:$A$63,0)),IF(INDEX(速览对比!$AL$2:$AL$63,MATCH(F$6,速览对比!$A$2:$A$63,0))=0,"",INDEX(速览对比!$AL$2:$AL$63,MATCH(F$6,速览对比!$A$2:$A$63,0)))),"-"))</f>
        <v>≈1.4 TFLOPS</v>
      </c>
      <c r="G27" s="30" t="str">
        <f aca="false">IF(G$6="","",IFERROR(IF(ISTEXT(INDEX(速览对比!$AL$2:$AL$63,MATCH(G$6,速览对比!$A$2:$A$63,0))),INDEX(速览对比!$AL$2:$AL$63,MATCH(G$6,速览对比!$A$2:$A$63,0)),IF(INDEX(速览对比!$AL$2:$AL$63,MATCH(G$6,速览对比!$A$2:$A$63,0))=0,"",INDEX(速览对比!$AL$2:$AL$63,MATCH(G$6,速览对比!$A$2:$A$63,0)))),"-"))</f>
        <v/>
      </c>
      <c r="H27" s="30" t="str">
        <f aca="false">IF(H$6="","",IFERROR(IF(ISTEXT(INDEX(速览对比!$AL$2:$AL$63,MATCH(H$6,速览对比!$A$2:$A$63,0))),INDEX(速览对比!$AL$2:$AL$63,MATCH(H$6,速览对比!$A$2:$A$63,0)),IF(INDEX(速览对比!$AL$2:$AL$63,MATCH(H$6,速览对比!$A$2:$A$63,0))=0,"",INDEX(速览对比!$AL$2:$AL$63,MATCH(H$6,速览对比!$A$2:$A$63,0)))),"-"))</f>
        <v/>
      </c>
    </row>
    <row r="28" customFormat="false" ht="24" hidden="false" customHeight="true" outlineLevel="0" collapsed="false">
      <c r="B28" s="29" t="str">
        <f aca="false">速览对比!$AM$1</f>
        <v>INT8 Computing / INT8 性能</v>
      </c>
      <c r="C28" s="30" t="str">
        <f aca="false">IF(C$6="","",IFERROR(IF(ISTEXT(INDEX(速览对比!$AM$2:$AM$63,MATCH(C$6,速览对比!$A$2:$A$63,0))),INDEX(速览对比!$AM$2:$AM$63,MATCH(C$6,速览对比!$A$2:$A$63,0)),IF(INDEX(速览对比!$AM$2:$AM$63,MATCH(C$6,速览对比!$A$2:$A$63,0))=0,"",INDEX(速览对比!$AM$2:$AM$63,MATCH(C$6,速览对比!$A$2:$A$63,0)))),"-"))</f>
        <v>≈187 | ≈375 TOPS²</v>
      </c>
      <c r="D28" s="30" t="str">
        <f aca="false">IF(D$6="","",IFERROR(IF(ISTEXT(INDEX(速览对比!$AM$2:$AM$63,MATCH(D$6,速览对比!$A$2:$A$63,0))),INDEX(速览对比!$AM$2:$AM$63,MATCH(D$6,速览对比!$A$2:$A$63,0)),IF(INDEX(速览对比!$AM$2:$AM$63,MATCH(D$6,速览对比!$A$2:$A$63,0))=0,"",INDEX(速览对比!$AM$2:$AM$63,MATCH(D$6,速览对比!$A$2:$A$63,0)))),"-"))</f>
        <v>4,500 | 9,000 TOPS²</v>
      </c>
      <c r="E28" s="30" t="str">
        <f aca="false">IF(E$6="","",IFERROR(IF(ISTEXT(INDEX(速览对比!$AM$2:$AM$63,MATCH(E$6,速览对比!$A$2:$A$63,0))),INDEX(速览对比!$AM$2:$AM$63,MATCH(E$6,速览对比!$A$2:$A$63,0)),IF(INDEX(速览对比!$AM$2:$AM$63,MATCH(E$6,速览对比!$A$2:$A$63,0))=0,"",INDEX(速览对比!$AM$2:$AM$63,MATCH(E$6,速览对比!$A$2:$A$63,0)))),"-"))</f>
        <v>1,979 | 3,958 TOPS²</v>
      </c>
      <c r="F28" s="30" t="str">
        <f aca="false">IF(F$6="","",IFERROR(IF(ISTEXT(INDEX(速览对比!$AM$2:$AM$63,MATCH(F$6,速览对比!$A$2:$A$63,0))),INDEX(速览对比!$AM$2:$AM$63,MATCH(F$6,速览对比!$A$2:$A$63,0)),IF(INDEX(速览对比!$AM$2:$AM$63,MATCH(F$6,速览对比!$A$2:$A$63,0))=0,"",INDEX(速览对比!$AM$2:$AM$63,MATCH(F$6,速览对比!$A$2:$A$63,0)))),"-"))</f>
        <v>≈187 | ≈375 TOPS²</v>
      </c>
      <c r="G28" s="30" t="str">
        <f aca="false">IF(G$6="","",IFERROR(IF(ISTEXT(INDEX(速览对比!$AM$2:$AM$63,MATCH(G$6,速览对比!$A$2:$A$63,0))),INDEX(速览对比!$AM$2:$AM$63,MATCH(G$6,速览对比!$A$2:$A$63,0)),IF(INDEX(速览对比!$AM$2:$AM$63,MATCH(G$6,速览对比!$A$2:$A$63,0))=0,"",INDEX(速览对比!$AM$2:$AM$63,MATCH(G$6,速览对比!$A$2:$A$63,0)))),"-"))</f>
        <v/>
      </c>
      <c r="H28" s="30" t="str">
        <f aca="false">IF(H$6="","",IFERROR(IF(ISTEXT(INDEX(速览对比!$AM$2:$AM$63,MATCH(H$6,速览对比!$A$2:$A$63,0))),INDEX(速览对比!$AM$2:$AM$63,MATCH(H$6,速览对比!$A$2:$A$63,0)),IF(INDEX(速览对比!$AM$2:$AM$63,MATCH(H$6,速览对比!$A$2:$A$63,0))=0,"",INDEX(速览对比!$AM$2:$AM$63,MATCH(H$6,速览对比!$A$2:$A$63,0)))),"-"))</f>
        <v/>
      </c>
    </row>
    <row r="29" customFormat="false" ht="24" hidden="false" customHeight="true" outlineLevel="0" collapsed="false">
      <c r="B29" s="29" t="str">
        <f aca="false">速览对比!$AN$1</f>
        <v>INT4 Computing / INT4 性能</v>
      </c>
      <c r="C29" s="30" t="str">
        <f aca="false">IF(C$6="","",IFERROR(IF(ISTEXT(INDEX(速览对比!$AN$2:$AN$63,MATCH(C$6,速览对比!$A$2:$A$63,0))),INDEX(速览对比!$AN$2:$AN$63,MATCH(C$6,速览对比!$A$2:$A$63,0)),IF(INDEX(速览对比!$AN$2:$AN$63,MATCH(C$6,速览对比!$A$2:$A$63,0))=0,"",INDEX(速览对比!$AN$2:$AN$63,MATCH(C$6,速览对比!$A$2:$A$63,0)))),"-"))</f>
        <v>FP4：13.5 | 18 PFLOPS²</v>
      </c>
      <c r="D29" s="30" t="str">
        <f aca="false">IF(D$6="","",IFERROR(IF(ISTEXT(INDEX(速览对比!$AN$2:$AN$63,MATCH(D$6,速览对比!$A$2:$A$63,0))),INDEX(速览对比!$AN$2:$AN$63,MATCH(D$6,速览对比!$A$2:$A$63,0)),IF(INDEX(速览对比!$AN$2:$AN$63,MATCH(D$6,速览对比!$A$2:$A$63,0))=0,"",INDEX(速览对比!$AN$2:$AN$63,MATCH(D$6,速览对比!$A$2:$A$63,0)))),"-"))</f>
        <v>FP4：9 | 18 PFLOPS²</v>
      </c>
      <c r="E29" s="30" t="str">
        <f aca="false">IF(E$6="","",IFERROR(IF(ISTEXT(INDEX(速览对比!$AN$2:$AN$63,MATCH(E$6,速览对比!$A$2:$A$63,0))),INDEX(速览对比!$AN$2:$AN$63,MATCH(E$6,速览对比!$A$2:$A$63,0)),IF(INDEX(速览对比!$AN$2:$AN$63,MATCH(E$6,速览对比!$A$2:$A$63,0))=0,"",INDEX(速览对比!$AN$2:$AN$63,MATCH(E$6,速览对比!$A$2:$A$63,0)))),"-"))</f>
        <v>FP8：1,979 | 3,958 TFLOPS²</v>
      </c>
      <c r="F29" s="30" t="str">
        <f aca="false">IF(F$6="","",IFERROR(IF(ISTEXT(INDEX(速览对比!$AN$2:$AN$63,MATCH(F$6,速览对比!$A$2:$A$63,0))),INDEX(速览对比!$AN$2:$AN$63,MATCH(F$6,速览对比!$A$2:$A$63,0)),IF(INDEX(速览对比!$AN$2:$AN$63,MATCH(F$6,速览对比!$A$2:$A$63,0))=0,"",INDEX(速览对比!$AN$2:$AN$63,MATCH(F$6,速览对比!$A$2:$A$63,0)))),"-"))</f>
        <v>FP4：≈15 | ≈20 PFLOPS²</v>
      </c>
      <c r="G29" s="30" t="str">
        <f aca="false">IF(G$6="","",IFERROR(IF(ISTEXT(INDEX(速览对比!$AN$2:$AN$63,MATCH(G$6,速览对比!$A$2:$A$63,0))),INDEX(速览对比!$AN$2:$AN$63,MATCH(G$6,速览对比!$A$2:$A$63,0)),IF(INDEX(速览对比!$AN$2:$AN$63,MATCH(G$6,速览对比!$A$2:$A$63,0))=0,"",INDEX(速览对比!$AN$2:$AN$63,MATCH(G$6,速览对比!$A$2:$A$63,0)))),"-"))</f>
        <v/>
      </c>
      <c r="H29" s="30" t="str">
        <f aca="false">IF(H$6="","",IFERROR(IF(ISTEXT(INDEX(速览对比!$AN$2:$AN$63,MATCH(H$6,速览对比!$A$2:$A$63,0))),INDEX(速览对比!$AN$2:$AN$63,MATCH(H$6,速览对比!$A$2:$A$63,0)),IF(INDEX(速览对比!$AN$2:$AN$63,MATCH(H$6,速览对比!$A$2:$A$63,0))=0,"",INDEX(速览对比!$AN$2:$AN$63,MATCH(H$6,速览对比!$A$2:$A$63,0)))),"-"))</f>
        <v/>
      </c>
    </row>
    <row r="30" customFormat="false" ht="24" hidden="false" customHeight="true" outlineLevel="0" collapsed="false">
      <c r="B30" s="29" t="str">
        <f aca="false">速览对比!$AO$1</f>
        <v>Interconnect Bandwidth / GPU-GPU带宽</v>
      </c>
      <c r="C30" s="30" t="str">
        <f aca="false">IF(C$6="","",IFERROR(IF(ISTEXT(INDEX(速览对比!$AO$2:$AO$63,MATCH(C$6,速览对比!$A$2:$A$63,0))),INDEX(速览对比!$AO$2:$AO$63,MATCH(C$6,速览对比!$A$2:$A$63,0)),IF(INDEX(速览对比!$AO$2:$AO$63,MATCH(C$6,速览对比!$A$2:$A$63,0))=0,"",INDEX(速览对比!$AO$2:$AO$63,MATCH(C$6,速览对比!$A$2:$A$63,0)))),"-"))</f>
        <v>NVLink 5: 1.8 TB/s
PCIe Gen6: 256 GB/s</v>
      </c>
      <c r="D30" s="30" t="str">
        <f aca="false">IF(D$6="","",IFERROR(IF(ISTEXT(INDEX(速览对比!$AO$2:$AO$63,MATCH(D$6,速览对比!$A$2:$A$63,0))),INDEX(速览对比!$AO$2:$AO$63,MATCH(D$6,速览对比!$A$2:$A$63,0)),IF(INDEX(速览对比!$AO$2:$AO$63,MATCH(D$6,速览对比!$A$2:$A$63,0))=0,"",INDEX(速览对比!$AO$2:$AO$63,MATCH(D$6,速览对比!$A$2:$A$63,0)))),"-"))</f>
        <v>PCIe Gen6 :256 GB/s
NVLink: 1800GB/s</v>
      </c>
      <c r="E30" s="30" t="str">
        <f aca="false">IF(E$6="","",IFERROR(IF(ISTEXT(INDEX(速览对比!$AO$2:$AO$63,MATCH(E$6,速览对比!$A$2:$A$63,0))),INDEX(速览对比!$AO$2:$AO$63,MATCH(E$6,速览对比!$A$2:$A$63,0)),IF(INDEX(速览对比!$AO$2:$AO$63,MATCH(E$6,速览对比!$A$2:$A$63,0))=0,"",INDEX(速览对比!$AO$2:$AO$63,MATCH(E$6,速览对比!$A$2:$A$63,0)))),"-"))</f>
        <v>NVLink ：900GB/s</v>
      </c>
      <c r="F30" s="30" t="str">
        <f aca="false">IF(F$6="","",IFERROR(IF(ISTEXT(INDEX(速览对比!$AO$2:$AO$63,MATCH(F$6,速览对比!$A$2:$A$63,0))),INDEX(速览对比!$AO$2:$AO$63,MATCH(F$6,速览对比!$A$2:$A$63,0)),IF(INDEX(速览对比!$AO$2:$AO$63,MATCH(F$6,速览对比!$A$2:$A$63,0))=0,"",INDEX(速览对比!$AO$2:$AO$63,MATCH(F$6,速览对比!$A$2:$A$63,0)))),"-"))</f>
        <v>NVLink 5: 1.8 TB/s（每GPU）
NVLink-C2C: 900 GB/s（GPU↔Grace CPU）</v>
      </c>
      <c r="G30" s="30" t="str">
        <f aca="false">IF(G$6="","",IFERROR(IF(ISTEXT(INDEX(速览对比!$AO$2:$AO$63,MATCH(G$6,速览对比!$A$2:$A$63,0))),INDEX(速览对比!$AO$2:$AO$63,MATCH(G$6,速览对比!$A$2:$A$63,0)),IF(INDEX(速览对比!$AO$2:$AO$63,MATCH(G$6,速览对比!$A$2:$A$63,0))=0,"",INDEX(速览对比!$AO$2:$AO$63,MATCH(G$6,速览对比!$A$2:$A$63,0)))),"-"))</f>
        <v/>
      </c>
      <c r="H30" s="30" t="str">
        <f aca="false">IF(H$6="","",IFERROR(IF(ISTEXT(INDEX(速览对比!$AO$2:$AO$63,MATCH(H$6,速览对比!$A$2:$A$63,0))),INDEX(速览对比!$AO$2:$AO$63,MATCH(H$6,速览对比!$A$2:$A$63,0)),IF(INDEX(速览对比!$AO$2:$AO$63,MATCH(H$6,速览对比!$A$2:$A$63,0))=0,"",INDEX(速览对比!$AO$2:$AO$63,MATCH(H$6,速览对比!$A$2:$A$63,0)))),"-"))</f>
        <v/>
      </c>
    </row>
    <row r="31" customFormat="false" ht="24" hidden="false" customHeight="true" outlineLevel="0" collapsed="false">
      <c r="B31" s="29" t="str">
        <f aca="false">速览对比!$AP$1</f>
        <v>Transistor Count / 晶体管数量</v>
      </c>
      <c r="C31" s="30" t="str">
        <f aca="false">IF(C$6="","",IFERROR(IF(ISTEXT(INDEX(速览对比!$AP$2:$AP$63,MATCH(C$6,速览对比!$A$2:$A$63,0))),INDEX(速览对比!$AP$2:$AP$63,MATCH(C$6,速览对比!$A$2:$A$63,0)),IF(INDEX(速览对比!$AP$2:$AP$63,MATCH(C$6,速览对比!$A$2:$A$63,0))=0,"",INDEX(速览对比!$AP$2:$AP$63,MATCH(C$6,速览对比!$A$2:$A$63,0)))),"-"))</f>
        <v>4NP 2080亿</v>
      </c>
      <c r="D31" s="30" t="str">
        <f aca="false">IF(D$6="","",IFERROR(IF(ISTEXT(INDEX(速览对比!$AP$2:$AP$63,MATCH(D$6,速览对比!$A$2:$A$63,0))),INDEX(速览对比!$AP$2:$AP$63,MATCH(D$6,速览对比!$A$2:$A$63,0)),IF(INDEX(速览对比!$AP$2:$AP$63,MATCH(D$6,速览对比!$A$2:$A$63,0))=0,"",INDEX(速览对比!$AP$2:$AP$63,MATCH(D$6,速览对比!$A$2:$A$63,0)))),"-"))</f>
        <v>4NP 2080亿</v>
      </c>
      <c r="E31" s="30" t="str">
        <f aca="false">IF(E$6="","",IFERROR(IF(ISTEXT(INDEX(速览对比!$AP$2:$AP$63,MATCH(E$6,速览对比!$A$2:$A$63,0))),INDEX(速览对比!$AP$2:$AP$63,MATCH(E$6,速览对比!$A$2:$A$63,0)),IF(INDEX(速览对比!$AP$2:$AP$63,MATCH(E$6,速览对比!$A$2:$A$63,0))=0,"",INDEX(速览对比!$AP$2:$AP$63,MATCH(E$6,速览对比!$A$2:$A$63,0)))),"-"))</f>
        <v>4 nm   80,000 million</v>
      </c>
      <c r="F31" s="30" t="str">
        <f aca="false">IF(F$6="","",IFERROR(IF(ISTEXT(INDEX(速览对比!$AP$2:$AP$63,MATCH(F$6,速览对比!$A$2:$A$63,0))),INDEX(速览对比!$AP$2:$AP$63,MATCH(F$6,速览对比!$A$2:$A$63,0)),IF(INDEX(速览对比!$AP$2:$AP$63,MATCH(F$6,速览对比!$A$2:$A$63,0))=0,"",INDEX(速览对比!$AP$2:$AP$63,MATCH(F$6,速览对比!$A$2:$A$63,0)))),"-"))</f>
        <v>4NP 2080亿（GPU）</v>
      </c>
      <c r="G31" s="30" t="str">
        <f aca="false">IF(G$6="","",IFERROR(IF(ISTEXT(INDEX(速览对比!$AP$2:$AP$63,MATCH(G$6,速览对比!$A$2:$A$63,0))),INDEX(速览对比!$AP$2:$AP$63,MATCH(G$6,速览对比!$A$2:$A$63,0)),IF(INDEX(速览对比!$AP$2:$AP$63,MATCH(G$6,速览对比!$A$2:$A$63,0))=0,"",INDEX(速览对比!$AP$2:$AP$63,MATCH(G$6,速览对比!$A$2:$A$63,0)))),"-"))</f>
        <v/>
      </c>
      <c r="H31" s="30" t="str">
        <f aca="false">IF(H$6="","",IFERROR(IF(ISTEXT(INDEX(速览对比!$AP$2:$AP$63,MATCH(H$6,速览对比!$A$2:$A$63,0))),INDEX(速览对比!$AP$2:$AP$63,MATCH(H$6,速览对比!$A$2:$A$63,0)),IF(INDEX(速览对比!$AP$2:$AP$63,MATCH(H$6,速览对比!$A$2:$A$63,0))=0,"",INDEX(速览对比!$AP$2:$AP$63,MATCH(H$6,速览对比!$A$2:$A$63,0)))),"-"))</f>
        <v/>
      </c>
    </row>
    <row r="32" customFormat="false" ht="42" hidden="false" customHeight="true" outlineLevel="0" collapsed="false">
      <c r="B32" s="29" t="str">
        <f aca="false">速览对比!$AQ$1</f>
        <v>Form Factor / 外形</v>
      </c>
      <c r="C32" s="30" t="str">
        <f aca="false">IF(C$6="","",IFERROR(IF(ISTEXT(INDEX(速览对比!$AQ$2:$AQ$63,MATCH(C$6,速览对比!$A$2:$A$63,0))),INDEX(速览对比!$AQ$2:$AQ$63,MATCH(C$6,速览对比!$A$2:$A$63,0)),IF(INDEX(速览对比!$AQ$2:$AQ$63,MATCH(C$6,速览对比!$A$2:$A$63,0))=0,"",INDEX(速览对比!$AQ$2:$AQ$63,MATCH(C$6,速览对比!$A$2:$A$63,0)))),"-"))</f>
        <v>SXM6 接口，适用于NVLink专用主板（需液冷）</v>
      </c>
      <c r="D32" s="30" t="str">
        <f aca="false">IF(D$6="","",IFERROR(IF(ISTEXT(INDEX(速览对比!$AQ$2:$AQ$63,MATCH(D$6,速览对比!$A$2:$A$63,0))),INDEX(速览对比!$AQ$2:$AQ$63,MATCH(D$6,速览对比!$A$2:$A$63,0)),IF(INDEX(速览对比!$AQ$2:$AQ$63,MATCH(D$6,速览对比!$A$2:$A$63,0))=0,"",INDEX(速览对比!$AQ$2:$AQ$63,MATCH(D$6,速览对比!$A$2:$A$63,0)))),"-"))</f>
        <v>SXM 接口，适合于NVLink专用主板</v>
      </c>
      <c r="E32" s="30" t="str">
        <f aca="false">IF(E$6="","",IFERROR(IF(ISTEXT(INDEX(速览对比!$AQ$2:$AQ$63,MATCH(E$6,速览对比!$A$2:$A$63,0))),INDEX(速览对比!$AQ$2:$AQ$63,MATCH(E$6,速览对比!$A$2:$A$63,0)),IF(INDEX(速览对比!$AQ$2:$AQ$63,MATCH(E$6,速览对比!$A$2:$A$63,0))=0,"",INDEX(速览对比!$AQ$2:$AQ$63,MATCH(E$6,速览对比!$A$2:$A$63,0)))),"-"))</f>
        <v>SXM 接口，适合于NVLink专用主板</v>
      </c>
      <c r="F32" s="30" t="str">
        <f aca="false">IF(F$6="","",IFERROR(IF(ISTEXT(INDEX(速览对比!$AQ$2:$AQ$63,MATCH(F$6,速览对比!$A$2:$A$63,0))),INDEX(速览对比!$AQ$2:$AQ$63,MATCH(F$6,速览对比!$A$2:$A$63,0)),IF(INDEX(速览对比!$AQ$2:$AQ$63,MATCH(F$6,速览对比!$A$2:$A$63,0))=0,"",INDEX(速览对比!$AQ$2:$AQ$63,MATCH(F$6,速览对比!$A$2:$A$63,0)))),"-"))</f>
        <v>GB300 超级芯片（1×Grace+2×B300）/ NVL72 整柜全液冷</v>
      </c>
      <c r="G32" s="30" t="str">
        <f aca="false">IF(G$6="","",IFERROR(IF(ISTEXT(INDEX(速览对比!$AQ$2:$AQ$63,MATCH(G$6,速览对比!$A$2:$A$63,0))),INDEX(速览对比!$AQ$2:$AQ$63,MATCH(G$6,速览对比!$A$2:$A$63,0)),IF(INDEX(速览对比!$AQ$2:$AQ$63,MATCH(G$6,速览对比!$A$2:$A$63,0))=0,"",INDEX(速览对比!$AQ$2:$AQ$63,MATCH(G$6,速览对比!$A$2:$A$63,0)))),"-"))</f>
        <v/>
      </c>
      <c r="H32" s="30" t="str">
        <f aca="false">IF(H$6="","",IFERROR(IF(ISTEXT(INDEX(速览对比!$AQ$2:$AQ$63,MATCH(H$6,速览对比!$A$2:$A$63,0))),INDEX(速览对比!$AQ$2:$AQ$63,MATCH(H$6,速览对比!$A$2:$A$63,0)),IF(INDEX(速览对比!$AQ$2:$AQ$63,MATCH(H$6,速览对比!$A$2:$A$63,0))=0,"",INDEX(速览对比!$AQ$2:$AQ$63,MATCH(H$6,速览对比!$A$2:$A$63,0)))),"-"))</f>
        <v/>
      </c>
    </row>
    <row r="33" customFormat="false" ht="24" hidden="false" customHeight="true" outlineLevel="0" collapsed="false">
      <c r="B33" s="29" t="str">
        <f aca="false">速览对比!$AR$1</f>
        <v>TDP / 设计功耗</v>
      </c>
      <c r="C33" s="30" t="str">
        <f aca="false">IF(C$6="","",IFERROR(IF(ISTEXT(INDEX(速览对比!$AR$2:$AR$63,MATCH(C$6,速览对比!$A$2:$A$63,0))),INDEX(速览对比!$AR$2:$AR$63,MATCH(C$6,速览对比!$A$2:$A$63,0)),IF(INDEX(速览对比!$AR$2:$AR$63,MATCH(C$6,速览对比!$A$2:$A$63,0))=0,"",INDEX(速览对比!$AR$2:$AR$63,MATCH(C$6,速览对比!$A$2:$A$63,0)))),"-"))</f>
        <v>1400W</v>
      </c>
      <c r="D33" s="30" t="str">
        <f aca="false">IF(D$6="","",IFERROR(IF(ISTEXT(INDEX(速览对比!$AR$2:$AR$63,MATCH(D$6,速览对比!$A$2:$A$63,0))),INDEX(速览对比!$AR$2:$AR$63,MATCH(D$6,速览对比!$A$2:$A$63,0)),IF(INDEX(速览对比!$AR$2:$AR$63,MATCH(D$6,速览对比!$A$2:$A$63,0))=0,"",INDEX(速览对比!$AR$2:$AR$63,MATCH(D$6,速览对比!$A$2:$A$63,0)))),"-"))</f>
        <v>1000W</v>
      </c>
      <c r="E33" s="30" t="str">
        <f aca="false">IF(E$6="","",IFERROR(IF(ISTEXT(INDEX(速览对比!$AR$2:$AR$63,MATCH(E$6,速览对比!$A$2:$A$63,0))),INDEX(速览对比!$AR$2:$AR$63,MATCH(E$6,速览对比!$A$2:$A$63,0)),IF(INDEX(速览对比!$AR$2:$AR$63,MATCH(E$6,速览对比!$A$2:$A$63,0))=0,"",INDEX(速览对比!$AR$2:$AR$63,MATCH(E$6,速览对比!$A$2:$A$63,0)))),"-"))</f>
        <v>700W</v>
      </c>
      <c r="F33" s="30" t="str">
        <f aca="false">IF(F$6="","",IFERROR(IF(ISTEXT(INDEX(速览对比!$AR$2:$AR$63,MATCH(F$6,速览对比!$A$2:$A$63,0))),INDEX(速览对比!$AR$2:$AR$63,MATCH(F$6,速览对比!$A$2:$A$63,0)),IF(INDEX(速览对比!$AR$2:$AR$63,MATCH(F$6,速览对比!$A$2:$A$63,0))=0,"",INDEX(速览对比!$AR$2:$AR$63,MATCH(F$6,速览对比!$A$2:$A$63,0)))),"-"))</f>
        <v>≈1,400W（GPU）；整柜≈135kW</v>
      </c>
      <c r="G33" s="30" t="str">
        <f aca="false">IF(G$6="","",IFERROR(IF(ISTEXT(INDEX(速览对比!$AR$2:$AR$63,MATCH(G$6,速览对比!$A$2:$A$63,0))),INDEX(速览对比!$AR$2:$AR$63,MATCH(G$6,速览对比!$A$2:$A$63,0)),IF(INDEX(速览对比!$AR$2:$AR$63,MATCH(G$6,速览对比!$A$2:$A$63,0))=0,"",INDEX(速览对比!$AR$2:$AR$63,MATCH(G$6,速览对比!$A$2:$A$63,0)))),"-"))</f>
        <v/>
      </c>
      <c r="H33" s="30" t="str">
        <f aca="false">IF(H$6="","",IFERROR(IF(ISTEXT(INDEX(速览对比!$AR$2:$AR$63,MATCH(H$6,速览对比!$A$2:$A$63,0))),INDEX(速览对比!$AR$2:$AR$63,MATCH(H$6,速览对比!$A$2:$A$63,0)),IF(INDEX(速览对比!$AR$2:$AR$63,MATCH(H$6,速览对比!$A$2:$A$63,0))=0,"",INDEX(速览对比!$AR$2:$AR$63,MATCH(H$6,速览对比!$A$2:$A$63,0)))),"-"))</f>
        <v/>
      </c>
    </row>
    <row r="36" customFormat="false" ht="16.8" hidden="false" customHeight="false" outlineLevel="0" collapsed="false">
      <c r="B36" s="32" t="s">
        <v>838</v>
      </c>
    </row>
    <row r="37" customFormat="false" ht="16.8" hidden="false" customHeight="false" outlineLevel="0" collapsed="false">
      <c r="B37" s="28" t="s">
        <v>839</v>
      </c>
      <c r="C37" s="28" t="str">
        <f aca="false">IF(C$6="","",C$6)</f>
        <v>B300 SXM</v>
      </c>
      <c r="D37" s="28" t="str">
        <f aca="false">IF(D$6="","",D$6)</f>
        <v>B200 SXM</v>
      </c>
      <c r="E37" s="28" t="str">
        <f aca="false">IF(E$6="","",E$6)</f>
        <v>H100 SXM</v>
      </c>
      <c r="F37" s="28" t="str">
        <f aca="false">IF(F$6="","",F$6)</f>
        <v>GB300 NVL72</v>
      </c>
      <c r="G37" s="28" t="str">
        <f aca="false">IF(G$6="","",G$6)</f>
        <v/>
      </c>
      <c r="H37" s="28" t="str">
        <f aca="false">IF(H$6="","",H$6)</f>
        <v/>
      </c>
    </row>
    <row r="38" customFormat="false" ht="16.8" hidden="false" customHeight="false" outlineLevel="0" collapsed="false">
      <c r="B38" s="29" t="s">
        <v>840</v>
      </c>
      <c r="C38" s="4" t="n">
        <f aca="false">IF(C$6="","",IFERROR(IF(INDEX(数值数据!$B$6:$BN$6,MATCH(C$6,数值数据!$B$1:$BN$1,0))=0,"",INDEX(数值数据!$B$6:$BN$6,MATCH(C$6,数值数据!$B$1:$BN$1,0))),""))</f>
        <v>75</v>
      </c>
      <c r="D38" s="4" t="n">
        <f aca="false">IF(D$6="","",IFERROR(IF(INDEX(数值数据!$B$6:$BN$6,MATCH(D$6,数值数据!$B$1:$BN$1,0))=0,"",INDEX(数值数据!$B$6:$BN$6,MATCH(D$6,数值数据!$B$1:$BN$1,0))),""))</f>
        <v>75</v>
      </c>
      <c r="E38" s="4" t="n">
        <f aca="false">IF(E$6="","",IFERROR(IF(INDEX(数值数据!$B$6:$BN$6,MATCH(E$6,数值数据!$B$1:$BN$1,0))=0,"",INDEX(数值数据!$B$6:$BN$6,MATCH(E$6,数值数据!$B$1:$BN$1,0))),""))</f>
        <v>67</v>
      </c>
      <c r="F38" s="4" t="n">
        <f aca="false">IF(F$6="","",IFERROR(IF(INDEX(数值数据!$B$6:$BN$6,MATCH(F$6,数值数据!$B$1:$BN$1,0))=0,"",INDEX(数值数据!$B$6:$BN$6,MATCH(F$6,数值数据!$B$1:$BN$1,0))),""))</f>
        <v>83</v>
      </c>
      <c r="G38" s="4" t="str">
        <f aca="false">IF(G$6="","",IFERROR(IF(INDEX(数值数据!$B$6:$BN$6,MATCH(G$6,数值数据!$B$1:$BN$1,0))=0,"",INDEX(数值数据!$B$6:$BN$6,MATCH(G$6,数值数据!$B$1:$BN$1,0))),""))</f>
        <v/>
      </c>
      <c r="H38" s="4" t="str">
        <f aca="false">IF(H$6="","",IFERROR(IF(INDEX(数值数据!$B$6:$BN$6,MATCH(H$6,数值数据!$B$1:$BN$1,0))=0,"",INDEX(数值数据!$B$6:$BN$6,MATCH(H$6,数值数据!$B$1:$BN$1,0))),""))</f>
        <v/>
      </c>
    </row>
    <row r="39" customFormat="false" ht="16.8" hidden="false" customHeight="false" outlineLevel="0" collapsed="false">
      <c r="B39" s="29" t="s">
        <v>841</v>
      </c>
      <c r="C39" s="4" t="n">
        <f aca="false">IF(C$6="","",IFERROR(IF(INDEX(数值数据!$B$7:$BN$7,MATCH(C$6,数值数据!$B$1:$BN$1,0))=0,"",INDEX(数值数据!$B$7:$BN$7,MATCH(C$6,数值数据!$B$1:$BN$1,0))),""))</f>
        <v>2250</v>
      </c>
      <c r="D39" s="4" t="n">
        <f aca="false">IF(D$6="","",IFERROR(IF(INDEX(数值数据!$B$7:$BN$7,MATCH(D$6,数值数据!$B$1:$BN$1,0))=0,"",INDEX(数值数据!$B$7:$BN$7,MATCH(D$6,数值数据!$B$1:$BN$1,0))),""))</f>
        <v>2250</v>
      </c>
      <c r="E39" s="4" t="n">
        <f aca="false">IF(E$6="","",IFERROR(IF(INDEX(数值数据!$B$7:$BN$7,MATCH(E$6,数值数据!$B$1:$BN$1,0))=0,"",INDEX(数值数据!$B$7:$BN$7,MATCH(E$6,数值数据!$B$1:$BN$1,0))),""))</f>
        <v>989</v>
      </c>
      <c r="F39" s="4" t="n">
        <f aca="false">IF(F$6="","",IFERROR(IF(INDEX(数值数据!$B$7:$BN$7,MATCH(F$6,数值数据!$B$1:$BN$1,0))=0,"",INDEX(数值数据!$B$7:$BN$7,MATCH(F$6,数值数据!$B$1:$BN$1,0))),""))</f>
        <v>2500</v>
      </c>
      <c r="G39" s="4" t="str">
        <f aca="false">IF(G$6="","",IFERROR(IF(INDEX(数值数据!$B$7:$BN$7,MATCH(G$6,数值数据!$B$1:$BN$1,0))=0,"",INDEX(数值数据!$B$7:$BN$7,MATCH(G$6,数值数据!$B$1:$BN$1,0))),""))</f>
        <v/>
      </c>
      <c r="H39" s="4" t="str">
        <f aca="false">IF(H$6="","",IFERROR(IF(INDEX(数值数据!$B$7:$BN$7,MATCH(H$6,数值数据!$B$1:$BN$1,0))=0,"",INDEX(数值数据!$B$7:$BN$7,MATCH(H$6,数值数据!$B$1:$BN$1,0))),""))</f>
        <v/>
      </c>
    </row>
    <row r="40" customFormat="false" ht="16.8" hidden="false" customHeight="false" outlineLevel="0" collapsed="false">
      <c r="B40" s="29" t="s">
        <v>842</v>
      </c>
      <c r="C40" s="4" t="n">
        <f aca="false">IF(C$6="","",IFERROR(IF(INDEX(数值数据!$B$8:$BN$8,MATCH(C$6,数值数据!$B$1:$BN$1,0))=0,"",INDEX(数值数据!$B$8:$BN$8,MATCH(C$6,数值数据!$B$1:$BN$1,0))),""))</f>
        <v>4500</v>
      </c>
      <c r="D40" s="4" t="n">
        <f aca="false">IF(D$6="","",IFERROR(IF(INDEX(数值数据!$B$8:$BN$8,MATCH(D$6,数值数据!$B$1:$BN$1,0))=0,"",INDEX(数值数据!$B$8:$BN$8,MATCH(D$6,数值数据!$B$1:$BN$1,0))),""))</f>
        <v>4500</v>
      </c>
      <c r="E40" s="4" t="n">
        <f aca="false">IF(E$6="","",IFERROR(IF(INDEX(数值数据!$B$8:$BN$8,MATCH(E$6,数值数据!$B$1:$BN$1,0))=0,"",INDEX(数值数据!$B$8:$BN$8,MATCH(E$6,数值数据!$B$1:$BN$1,0))),""))</f>
        <v>1979</v>
      </c>
      <c r="F40" s="4" t="n">
        <f aca="false">IF(F$6="","",IFERROR(IF(INDEX(数值数据!$B$8:$BN$8,MATCH(F$6,数值数据!$B$1:$BN$1,0))=0,"",INDEX(数值数据!$B$8:$BN$8,MATCH(F$6,数值数据!$B$1:$BN$1,0))),""))</f>
        <v>5000</v>
      </c>
      <c r="G40" s="4" t="str">
        <f aca="false">IF(G$6="","",IFERROR(IF(INDEX(数值数据!$B$8:$BN$8,MATCH(G$6,数值数据!$B$1:$BN$1,0))=0,"",INDEX(数值数据!$B$8:$BN$8,MATCH(G$6,数值数据!$B$1:$BN$1,0))),""))</f>
        <v/>
      </c>
      <c r="H40" s="4" t="str">
        <f aca="false">IF(H$6="","",IFERROR(IF(INDEX(数值数据!$B$8:$BN$8,MATCH(H$6,数值数据!$B$1:$BN$1,0))=0,"",INDEX(数值数据!$B$8:$BN$8,MATCH(H$6,数值数据!$B$1:$BN$1,0))),""))</f>
        <v/>
      </c>
    </row>
    <row r="41" customFormat="false" ht="16.8" hidden="false" customHeight="false" outlineLevel="0" collapsed="false">
      <c r="B41" s="29" t="s">
        <v>843</v>
      </c>
      <c r="C41" s="4" t="n">
        <f aca="false">IF(C$6="","",IFERROR(IF(INDEX(数值数据!$B$10:$BN$10,MATCH(C$6,数值数据!$B$1:$BN$1,0))=0,"",INDEX(数值数据!$B$10:$BN$10,MATCH(C$6,数值数据!$B$1:$BN$1,0))),""))</f>
        <v>13.5</v>
      </c>
      <c r="D41" s="4" t="n">
        <f aca="false">IF(D$6="","",IFERROR(IF(INDEX(数值数据!$B$10:$BN$10,MATCH(D$6,数值数据!$B$1:$BN$1,0))=0,"",INDEX(数值数据!$B$10:$BN$10,MATCH(D$6,数值数据!$B$1:$BN$1,0))),""))</f>
        <v>9</v>
      </c>
      <c r="E41" s="4" t="str">
        <f aca="false">IF(E$6="","",IFERROR(IF(INDEX(数值数据!$B$10:$BN$10,MATCH(E$6,数值数据!$B$1:$BN$1,0))=0,"",INDEX(数值数据!$B$10:$BN$10,MATCH(E$6,数值数据!$B$1:$BN$1,0))),""))</f>
        <v/>
      </c>
      <c r="F41" s="4" t="n">
        <f aca="false">IF(F$6="","",IFERROR(IF(INDEX(数值数据!$B$10:$BN$10,MATCH(F$6,数值数据!$B$1:$BN$1,0))=0,"",INDEX(数值数据!$B$10:$BN$10,MATCH(F$6,数值数据!$B$1:$BN$1,0))),""))</f>
        <v>15</v>
      </c>
      <c r="G41" s="4" t="str">
        <f aca="false">IF(G$6="","",IFERROR(IF(INDEX(数值数据!$B$10:$BN$10,MATCH(G$6,数值数据!$B$1:$BN$1,0))=0,"",INDEX(数值数据!$B$10:$BN$10,MATCH(G$6,数值数据!$B$1:$BN$1,0))),""))</f>
        <v/>
      </c>
      <c r="H41" s="4" t="str">
        <f aca="false">IF(H$6="","",IFERROR(IF(INDEX(数值数据!$B$10:$BN$10,MATCH(H$6,数值数据!$B$1:$BN$1,0))=0,"",INDEX(数值数据!$B$10:$BN$10,MATCH(H$6,数值数据!$B$1:$BN$1,0))),""))</f>
        <v/>
      </c>
    </row>
    <row r="42" customFormat="false" ht="16.8" hidden="false" customHeight="false" outlineLevel="0" collapsed="false">
      <c r="B42" s="29" t="s">
        <v>844</v>
      </c>
      <c r="C42" s="4" t="n">
        <f aca="false">IF(C$6="","",IFERROR(IF(INDEX(数值数据!$B$9:$BN$9,MATCH(C$6,数值数据!$B$1:$BN$1,0))=0,"",INDEX(数值数据!$B$9:$BN$9,MATCH(C$6,数值数据!$B$1:$BN$1,0))),""))</f>
        <v>375</v>
      </c>
      <c r="D42" s="4" t="n">
        <f aca="false">IF(D$6="","",IFERROR(IF(INDEX(数值数据!$B$9:$BN$9,MATCH(D$6,数值数据!$B$1:$BN$1,0))=0,"",INDEX(数值数据!$B$9:$BN$9,MATCH(D$6,数值数据!$B$1:$BN$1,0))),""))</f>
        <v>9000</v>
      </c>
      <c r="E42" s="4" t="n">
        <f aca="false">IF(E$6="","",IFERROR(IF(INDEX(数值数据!$B$9:$BN$9,MATCH(E$6,数值数据!$B$1:$BN$1,0))=0,"",INDEX(数值数据!$B$9:$BN$9,MATCH(E$6,数值数据!$B$1:$BN$1,0))),""))</f>
        <v>3958</v>
      </c>
      <c r="F42" s="4" t="n">
        <f aca="false">IF(F$6="","",IFERROR(IF(INDEX(数值数据!$B$9:$BN$9,MATCH(F$6,数值数据!$B$1:$BN$1,0))=0,"",INDEX(数值数据!$B$9:$BN$9,MATCH(F$6,数值数据!$B$1:$BN$1,0))),""))</f>
        <v>375</v>
      </c>
      <c r="G42" s="4" t="str">
        <f aca="false">IF(G$6="","",IFERROR(IF(INDEX(数值数据!$B$9:$BN$9,MATCH(G$6,数值数据!$B$1:$BN$1,0))=0,"",INDEX(数值数据!$B$9:$BN$9,MATCH(G$6,数值数据!$B$1:$BN$1,0))),""))</f>
        <v/>
      </c>
      <c r="H42" s="4" t="str">
        <f aca="false">IF(H$6="","",IFERROR(IF(INDEX(数值数据!$B$9:$BN$9,MATCH(H$6,数值数据!$B$1:$BN$1,0))=0,"",INDEX(数值数据!$B$9:$BN$9,MATCH(H$6,数值数据!$B$1:$BN$1,0))),""))</f>
        <v/>
      </c>
    </row>
    <row r="43" customFormat="false" ht="16.8" hidden="false" customHeight="false" outlineLevel="0" collapsed="false">
      <c r="B43" s="31" t="s">
        <v>845</v>
      </c>
      <c r="C43" s="4" t="n">
        <f aca="false">IF(C$6="","",IFERROR(IF(INDEX(数值数据!$B$12:$BN$12,MATCH(C$6,数值数据!$B$1:$BN$1,0))=0,"",INDEX(数值数据!$B$12:$BN$12,MATCH(C$6,数值数据!$B$1:$BN$1,0))),""))</f>
        <v>288</v>
      </c>
      <c r="D43" s="4" t="n">
        <f aca="false">IF(D$6="","",IFERROR(IF(INDEX(数值数据!$B$12:$BN$12,MATCH(D$6,数值数据!$B$1:$BN$1,0))=0,"",INDEX(数值数据!$B$12:$BN$12,MATCH(D$6,数值数据!$B$1:$BN$1,0))),""))</f>
        <v>192</v>
      </c>
      <c r="E43" s="4" t="n">
        <f aca="false">IF(E$6="","",IFERROR(IF(INDEX(数值数据!$B$12:$BN$12,MATCH(E$6,数值数据!$B$1:$BN$1,0))=0,"",INDEX(数值数据!$B$12:$BN$12,MATCH(E$6,数值数据!$B$1:$BN$1,0))),""))</f>
        <v>80</v>
      </c>
      <c r="F43" s="4" t="n">
        <f aca="false">IF(F$6="","",IFERROR(IF(INDEX(数值数据!$B$12:$BN$12,MATCH(F$6,数值数据!$B$1:$BN$1,0))=0,"",INDEX(数值数据!$B$12:$BN$12,MATCH(F$6,数值数据!$B$1:$BN$1,0))),""))</f>
        <v>288</v>
      </c>
      <c r="G43" s="4" t="str">
        <f aca="false">IF(G$6="","",IFERROR(IF(INDEX(数值数据!$B$12:$BN$12,MATCH(G$6,数值数据!$B$1:$BN$1,0))=0,"",INDEX(数值数据!$B$12:$BN$12,MATCH(G$6,数值数据!$B$1:$BN$1,0))),""))</f>
        <v/>
      </c>
      <c r="H43" s="4" t="str">
        <f aca="false">IF(H$6="","",IFERROR(IF(INDEX(数值数据!$B$12:$BN$12,MATCH(H$6,数值数据!$B$1:$BN$1,0))=0,"",INDEX(数值数据!$B$12:$BN$12,MATCH(H$6,数值数据!$B$1:$BN$1,0))),""))</f>
        <v/>
      </c>
    </row>
    <row r="44" customFormat="false" ht="16.8" hidden="false" customHeight="false" outlineLevel="0" collapsed="false">
      <c r="B44" s="31" t="s">
        <v>846</v>
      </c>
      <c r="C44" s="4" t="n">
        <f aca="false">IF(C$6="","",IFERROR(IF(INDEX(数值数据!$B$13:$BN$13,MATCH(C$6,数值数据!$B$1:$BN$1,0))=0,"",INDEX(数值数据!$B$13:$BN$13,MATCH(C$6,数值数据!$B$1:$BN$1,0))),""))</f>
        <v>8000</v>
      </c>
      <c r="D44" s="4" t="n">
        <f aca="false">IF(D$6="","",IFERROR(IF(INDEX(数值数据!$B$13:$BN$13,MATCH(D$6,数值数据!$B$1:$BN$1,0))=0,"",INDEX(数值数据!$B$13:$BN$13,MATCH(D$6,数值数据!$B$1:$BN$1,0))),""))</f>
        <v>8000</v>
      </c>
      <c r="E44" s="4" t="n">
        <f aca="false">IF(E$6="","",IFERROR(IF(INDEX(数值数据!$B$13:$BN$13,MATCH(E$6,数值数据!$B$1:$BN$1,0))=0,"",INDEX(数值数据!$B$13:$BN$13,MATCH(E$6,数值数据!$B$1:$BN$1,0))),""))</f>
        <v>3350</v>
      </c>
      <c r="F44" s="4" t="n">
        <f aca="false">IF(F$6="","",IFERROR(IF(INDEX(数值数据!$B$13:$BN$13,MATCH(F$6,数值数据!$B$1:$BN$1,0))=0,"",INDEX(数值数据!$B$13:$BN$13,MATCH(F$6,数值数据!$B$1:$BN$1,0))),""))</f>
        <v>8000</v>
      </c>
      <c r="G44" s="4" t="str">
        <f aca="false">IF(G$6="","",IFERROR(IF(INDEX(数值数据!$B$13:$BN$13,MATCH(G$6,数值数据!$B$1:$BN$1,0))=0,"",INDEX(数值数据!$B$13:$BN$13,MATCH(G$6,数值数据!$B$1:$BN$1,0))),""))</f>
        <v/>
      </c>
      <c r="H44" s="4" t="str">
        <f aca="false">IF(H$6="","",IFERROR(IF(INDEX(数值数据!$B$13:$BN$13,MATCH(H$6,数值数据!$B$1:$BN$1,0))=0,"",INDEX(数值数据!$B$13:$BN$13,MATCH(H$6,数值数据!$B$1:$BN$1,0))),""))</f>
        <v/>
      </c>
    </row>
    <row r="45" customFormat="false" ht="16.8" hidden="false" customHeight="false" outlineLevel="0" collapsed="false">
      <c r="B45" s="29" t="s">
        <v>19</v>
      </c>
      <c r="C45" s="4" t="n">
        <f aca="false">IF(C$6="","",IFERROR(IF(INDEX(数值数据!$B$14:$BN$14,MATCH(C$6,数值数据!$B$1:$BN$1,0))=0,"",INDEX(数值数据!$B$14:$BN$14,MATCH(C$6,数值数据!$B$1:$BN$1,0))),""))</f>
        <v>1400</v>
      </c>
      <c r="D45" s="4" t="n">
        <f aca="false">IF(D$6="","",IFERROR(IF(INDEX(数值数据!$B$14:$BN$14,MATCH(D$6,数值数据!$B$1:$BN$1,0))=0,"",INDEX(数值数据!$B$14:$BN$14,MATCH(D$6,数值数据!$B$1:$BN$1,0))),""))</f>
        <v>1000</v>
      </c>
      <c r="E45" s="4" t="n">
        <f aca="false">IF(E$6="","",IFERROR(IF(INDEX(数值数据!$B$14:$BN$14,MATCH(E$6,数值数据!$B$1:$BN$1,0))=0,"",INDEX(数值数据!$B$14:$BN$14,MATCH(E$6,数值数据!$B$1:$BN$1,0))),""))</f>
        <v>700</v>
      </c>
      <c r="F45" s="4" t="n">
        <f aca="false">IF(F$6="","",IFERROR(IF(INDEX(数值数据!$B$14:$BN$14,MATCH(F$6,数值数据!$B$1:$BN$1,0))=0,"",INDEX(数值数据!$B$14:$BN$14,MATCH(F$6,数值数据!$B$1:$BN$1,0))),""))</f>
        <v>1400</v>
      </c>
      <c r="G45" s="4" t="str">
        <f aca="false">IF(G$6="","",IFERROR(IF(INDEX(数值数据!$B$14:$BN$14,MATCH(G$6,数值数据!$B$1:$BN$1,0))=0,"",INDEX(数值数据!$B$14:$BN$14,MATCH(G$6,数值数据!$B$1:$BN$1,0))),""))</f>
        <v/>
      </c>
      <c r="H45" s="4" t="str">
        <f aca="false">IF(H$6="","",IFERROR(IF(INDEX(数值数据!$B$14:$BN$14,MATCH(H$6,数值数据!$B$1:$BN$1,0))=0,"",INDEX(数值数据!$B$14:$BN$14,MATCH(H$6,数值数据!$B$1:$BN$1,0))),""))</f>
        <v/>
      </c>
    </row>
  </sheetData>
  <mergeCells count="3">
    <mergeCell ref="B2:H2"/>
    <mergeCell ref="B3:H3"/>
    <mergeCell ref="B4:H4"/>
  </mergeCells>
  <conditionalFormatting sqref="C38:H38">
    <cfRule type="dataBar" priority="2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{94FAA94F-65C0-44DF-B175-14C3F4874DC1}</x14:id>
        </ext>
      </extLst>
    </cfRule>
  </conditionalFormatting>
  <conditionalFormatting sqref="C39:H39">
    <cfRule type="dataBar" priority="3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{AE532433-2326-46B9-B13D-3889703EEC70}</x14:id>
        </ext>
      </extLst>
    </cfRule>
  </conditionalFormatting>
  <conditionalFormatting sqref="C40:H40">
    <cfRule type="dataBar" priority="4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{C3F0C3F1-50DB-4A64-8A91-417C822D56B3}</x14:id>
        </ext>
      </extLst>
    </cfRule>
  </conditionalFormatting>
  <conditionalFormatting sqref="C41:H41">
    <cfRule type="dataBar" priority="5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{BC11BB33-FF46-469A-BC97-69D0C165154C}</x14:id>
        </ext>
      </extLst>
    </cfRule>
  </conditionalFormatting>
  <conditionalFormatting sqref="C42:H42">
    <cfRule type="dataBar" priority="6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{FD567FD0-A9F1-421F-914B-6D9474F3DCDE}</x14:id>
        </ext>
      </extLst>
    </cfRule>
  </conditionalFormatting>
  <conditionalFormatting sqref="C43:H43">
    <cfRule type="dataBar" priority="7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{BE35E18F-A4CC-4140-BE12-57BB6DE03F1F}</x14:id>
        </ext>
      </extLst>
    </cfRule>
  </conditionalFormatting>
  <conditionalFormatting sqref="C44:H44">
    <cfRule type="dataBar" priority="8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{C4244E2F-47E1-4AA0-8445-E8BFFB1C6C93}</x14:id>
        </ext>
      </extLst>
    </cfRule>
  </conditionalFormatting>
  <conditionalFormatting sqref="C45:H45">
    <cfRule type="dataBar" priority="9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{BA1F13AF-24E2-46B7-9B99-F77D56BCFF8E}</x14:id>
        </ext>
      </extLst>
    </cfRule>
  </conditionalFormatting>
  <dataValidations count="1">
    <dataValidation allowBlank="true" errorStyle="stop" operator="between" prompt="从下拉列表选择要对比的 GPU 型号" promptTitle="选择型号" showDropDown="false" showErrorMessage="false" showInputMessage="true" sqref="C6:H6" type="list">
      <formula1>型号列表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FAA94F-65C0-44DF-B175-14C3F4874DC1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C38:H38</xm:sqref>
        </x14:conditionalFormatting>
        <x14:conditionalFormatting xmlns:xm="http://schemas.microsoft.com/office/excel/2006/main">
          <x14:cfRule type="dataBar" id="{AE532433-2326-46B9-B13D-3889703EEC70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C39:H39</xm:sqref>
        </x14:conditionalFormatting>
        <x14:conditionalFormatting xmlns:xm="http://schemas.microsoft.com/office/excel/2006/main">
          <x14:cfRule type="dataBar" id="{C3F0C3F1-50DB-4A64-8A91-417C822D56B3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C40:H40</xm:sqref>
        </x14:conditionalFormatting>
        <x14:conditionalFormatting xmlns:xm="http://schemas.microsoft.com/office/excel/2006/main">
          <x14:cfRule type="dataBar" id="{BC11BB33-FF46-469A-BC97-69D0C165154C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C41:H41</xm:sqref>
        </x14:conditionalFormatting>
        <x14:conditionalFormatting xmlns:xm="http://schemas.microsoft.com/office/excel/2006/main">
          <x14:cfRule type="dataBar" id="{FD567FD0-A9F1-421F-914B-6D9474F3DCDE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C42:H42</xm:sqref>
        </x14:conditionalFormatting>
        <x14:conditionalFormatting xmlns:xm="http://schemas.microsoft.com/office/excel/2006/main">
          <x14:cfRule type="dataBar" id="{BE35E18F-A4CC-4140-BE12-57BB6DE03F1F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C43:H43</xm:sqref>
        </x14:conditionalFormatting>
        <x14:conditionalFormatting xmlns:xm="http://schemas.microsoft.com/office/excel/2006/main">
          <x14:cfRule type="dataBar" id="{C4244E2F-47E1-4AA0-8445-E8BFFB1C6C93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C44:H44</xm:sqref>
        </x14:conditionalFormatting>
        <x14:conditionalFormatting xmlns:xm="http://schemas.microsoft.com/office/excel/2006/main">
          <x14:cfRule type="dataBar" id="{BA1F13AF-24E2-46B7-9B99-F77D56BCFF8E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C45:H45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6.8" zeroHeight="false" outlineLevelRow="0" outlineLevelCol="0"/>
  <cols>
    <col collapsed="false" customWidth="true" hidden="false" outlineLevel="0" max="1" min="1" style="21" width="26"/>
    <col collapsed="false" customWidth="true" hidden="false" outlineLevel="0" max="64" min="2" style="21" width="13"/>
  </cols>
  <sheetData>
    <row r="1" customFormat="false" ht="41" hidden="false" customHeight="false" outlineLevel="0" collapsed="false">
      <c r="A1" s="33" t="s">
        <v>0</v>
      </c>
      <c r="B1" s="13" t="s">
        <v>44</v>
      </c>
      <c r="C1" s="13" t="s">
        <v>69</v>
      </c>
      <c r="D1" s="13" t="s">
        <v>84</v>
      </c>
      <c r="E1" s="13" t="s">
        <v>100</v>
      </c>
      <c r="F1" s="13" t="s">
        <v>122</v>
      </c>
      <c r="G1" s="13" t="s">
        <v>138</v>
      </c>
      <c r="H1" s="13" t="s">
        <v>154</v>
      </c>
      <c r="I1" s="13" t="s">
        <v>171</v>
      </c>
      <c r="J1" s="13" t="s">
        <v>187</v>
      </c>
      <c r="K1" s="13" t="s">
        <v>203</v>
      </c>
      <c r="L1" s="13" t="s">
        <v>237</v>
      </c>
      <c r="M1" s="13" t="s">
        <v>847</v>
      </c>
      <c r="N1" s="13" t="s">
        <v>274</v>
      </c>
      <c r="O1" s="13" t="s">
        <v>282</v>
      </c>
      <c r="P1" s="13" t="s">
        <v>286</v>
      </c>
      <c r="Q1" s="13" t="s">
        <v>302</v>
      </c>
      <c r="R1" s="12" t="s">
        <v>305</v>
      </c>
      <c r="S1" s="13" t="s">
        <v>321</v>
      </c>
      <c r="T1" s="13" t="s">
        <v>344</v>
      </c>
      <c r="U1" s="13" t="s">
        <v>356</v>
      </c>
      <c r="V1" s="13" t="s">
        <v>375</v>
      </c>
      <c r="W1" s="13" t="s">
        <v>389</v>
      </c>
      <c r="X1" s="13" t="s">
        <v>408</v>
      </c>
      <c r="Y1" s="13" t="s">
        <v>430</v>
      </c>
      <c r="Z1" s="13" t="s">
        <v>437</v>
      </c>
      <c r="AA1" s="13" t="s">
        <v>443</v>
      </c>
      <c r="AB1" s="13" t="s">
        <v>444</v>
      </c>
      <c r="AC1" s="13" t="s">
        <v>444</v>
      </c>
      <c r="AD1" s="13" t="s">
        <v>444</v>
      </c>
      <c r="AE1" s="13" t="s">
        <v>460</v>
      </c>
      <c r="AF1" s="13" t="s">
        <v>460</v>
      </c>
      <c r="AG1" s="13" t="s">
        <v>479</v>
      </c>
      <c r="AH1" s="13" t="s">
        <v>499</v>
      </c>
      <c r="AI1" s="13" t="s">
        <v>512</v>
      </c>
      <c r="AJ1" s="13" t="s">
        <v>525</v>
      </c>
      <c r="AK1" s="13" t="s">
        <v>541</v>
      </c>
      <c r="AL1" s="13" t="s">
        <v>559</v>
      </c>
      <c r="AM1" s="13" t="s">
        <v>848</v>
      </c>
      <c r="AN1" s="13" t="s">
        <v>848</v>
      </c>
      <c r="AO1" s="13" t="s">
        <v>849</v>
      </c>
      <c r="AP1" s="13" t="s">
        <v>849</v>
      </c>
      <c r="AQ1" s="13" t="s">
        <v>611</v>
      </c>
      <c r="AR1" s="13" t="s">
        <v>626</v>
      </c>
      <c r="AS1" s="13" t="s">
        <v>639</v>
      </c>
      <c r="AT1" s="13" t="s">
        <v>642</v>
      </c>
      <c r="AU1" s="13" t="s">
        <v>655</v>
      </c>
      <c r="AV1" s="13" t="s">
        <v>661</v>
      </c>
      <c r="AW1" s="13" t="s">
        <v>671</v>
      </c>
      <c r="AX1" s="13" t="s">
        <v>681</v>
      </c>
      <c r="AY1" s="13" t="s">
        <v>701</v>
      </c>
      <c r="AZ1" s="13" t="s">
        <v>711</v>
      </c>
      <c r="BA1" s="13" t="s">
        <v>717</v>
      </c>
      <c r="BB1" s="13" t="s">
        <v>729</v>
      </c>
      <c r="BC1" s="13" t="s">
        <v>738</v>
      </c>
      <c r="BD1" s="13" t="s">
        <v>749</v>
      </c>
      <c r="BE1" s="13" t="s">
        <v>757</v>
      </c>
      <c r="BF1" s="13" t="s">
        <v>763</v>
      </c>
      <c r="BG1" s="13" t="s">
        <v>777</v>
      </c>
      <c r="BH1" s="13" t="s">
        <v>791</v>
      </c>
      <c r="BI1" s="13" t="s">
        <v>799</v>
      </c>
      <c r="BJ1" s="13" t="s">
        <v>805</v>
      </c>
      <c r="BK1" s="13" t="s">
        <v>811</v>
      </c>
      <c r="BL1" s="13" t="s">
        <v>820</v>
      </c>
      <c r="BM1" s="13" t="s">
        <v>208</v>
      </c>
      <c r="BN1" s="13" t="s">
        <v>227</v>
      </c>
    </row>
    <row r="2" customFormat="false" ht="41" hidden="false" customHeight="false" outlineLevel="0" collapsed="false">
      <c r="A2" s="33" t="s">
        <v>850</v>
      </c>
      <c r="B2" s="13" t="s">
        <v>50</v>
      </c>
      <c r="C2" s="13" t="s">
        <v>50</v>
      </c>
      <c r="D2" s="13" t="s">
        <v>88</v>
      </c>
      <c r="E2" s="13" t="s">
        <v>851</v>
      </c>
      <c r="F2" s="13" t="s">
        <v>851</v>
      </c>
      <c r="G2" s="13" t="s">
        <v>851</v>
      </c>
      <c r="H2" s="13" t="s">
        <v>852</v>
      </c>
      <c r="I2" s="13" t="s">
        <v>852</v>
      </c>
      <c r="J2" s="13" t="s">
        <v>851</v>
      </c>
      <c r="K2" s="13" t="s">
        <v>851</v>
      </c>
      <c r="L2" s="13" t="s">
        <v>242</v>
      </c>
      <c r="M2" s="13" t="s">
        <v>242</v>
      </c>
      <c r="N2" s="13" t="s">
        <v>853</v>
      </c>
      <c r="O2" s="13" t="s">
        <v>853</v>
      </c>
      <c r="P2" s="13" t="s">
        <v>853</v>
      </c>
      <c r="Q2" s="13" t="s">
        <v>853</v>
      </c>
      <c r="R2" s="13" t="s">
        <v>853</v>
      </c>
      <c r="S2" s="13" t="s">
        <v>854</v>
      </c>
      <c r="T2" s="13" t="s">
        <v>854</v>
      </c>
      <c r="U2" s="13" t="s">
        <v>854</v>
      </c>
      <c r="V2" s="13" t="s">
        <v>377</v>
      </c>
      <c r="W2" s="13" t="s">
        <v>854</v>
      </c>
      <c r="X2" s="13" t="s">
        <v>410</v>
      </c>
      <c r="Y2" s="13" t="s">
        <v>410</v>
      </c>
      <c r="Z2" s="13" t="s">
        <v>410</v>
      </c>
      <c r="AA2" s="13" t="s">
        <v>410</v>
      </c>
      <c r="AB2" s="13" t="s">
        <v>445</v>
      </c>
      <c r="AC2" s="13" t="s">
        <v>445</v>
      </c>
      <c r="AD2" s="13" t="s">
        <v>445</v>
      </c>
      <c r="AE2" s="13" t="s">
        <v>462</v>
      </c>
      <c r="AF2" s="13" t="s">
        <v>462</v>
      </c>
      <c r="AG2" s="13" t="s">
        <v>483</v>
      </c>
      <c r="AH2" s="13" t="s">
        <v>445</v>
      </c>
      <c r="AI2" s="13" t="s">
        <v>445</v>
      </c>
      <c r="AJ2" s="13" t="s">
        <v>445</v>
      </c>
      <c r="AK2" s="13" t="s">
        <v>542</v>
      </c>
      <c r="AL2" s="13" t="s">
        <v>561</v>
      </c>
      <c r="AM2" s="13" t="s">
        <v>579</v>
      </c>
      <c r="AN2" s="13" t="s">
        <v>579</v>
      </c>
      <c r="AO2" s="13" t="s">
        <v>579</v>
      </c>
      <c r="AP2" s="13" t="s">
        <v>579</v>
      </c>
      <c r="AQ2" s="13" t="s">
        <v>561</v>
      </c>
      <c r="AR2" s="13" t="s">
        <v>561</v>
      </c>
      <c r="AS2" s="13" t="s">
        <v>579</v>
      </c>
      <c r="AT2" s="13" t="s">
        <v>579</v>
      </c>
      <c r="AU2" s="13" t="s">
        <v>561</v>
      </c>
      <c r="AV2" s="13" t="s">
        <v>561</v>
      </c>
      <c r="AW2" s="13" t="s">
        <v>672</v>
      </c>
      <c r="AX2" s="13" t="s">
        <v>683</v>
      </c>
      <c r="AY2" s="13" t="s">
        <v>683</v>
      </c>
      <c r="AZ2" s="13" t="s">
        <v>683</v>
      </c>
      <c r="BA2" s="13" t="s">
        <v>683</v>
      </c>
      <c r="BB2" s="13" t="s">
        <v>683</v>
      </c>
      <c r="BC2" s="13" t="s">
        <v>740</v>
      </c>
      <c r="BD2" s="13" t="s">
        <v>740</v>
      </c>
      <c r="BE2" s="13" t="s">
        <v>740</v>
      </c>
      <c r="BF2" s="13" t="s">
        <v>764</v>
      </c>
      <c r="BG2" s="13" t="s">
        <v>778</v>
      </c>
      <c r="BH2" s="13" t="s">
        <v>764</v>
      </c>
      <c r="BI2" s="13" t="s">
        <v>764</v>
      </c>
      <c r="BJ2" s="13" t="s">
        <v>764</v>
      </c>
      <c r="BK2" s="13" t="s">
        <v>778</v>
      </c>
      <c r="BL2" s="13" t="s">
        <v>778</v>
      </c>
      <c r="BM2" s="13" t="s">
        <v>157</v>
      </c>
      <c r="BN2" s="13" t="s">
        <v>157</v>
      </c>
    </row>
    <row r="3" customFormat="false" ht="16.8" hidden="false" customHeight="false" outlineLevel="0" collapsed="false">
      <c r="A3" s="33" t="s">
        <v>3</v>
      </c>
      <c r="B3" s="30" t="s">
        <v>47</v>
      </c>
      <c r="C3" s="30" t="s">
        <v>47</v>
      </c>
      <c r="D3" s="30" t="s">
        <v>47</v>
      </c>
      <c r="E3" s="30" t="s">
        <v>102</v>
      </c>
      <c r="F3" s="30" t="s">
        <v>102</v>
      </c>
      <c r="G3" s="30" t="s">
        <v>102</v>
      </c>
      <c r="H3" s="30" t="s">
        <v>102</v>
      </c>
      <c r="I3" s="30" t="s">
        <v>102</v>
      </c>
      <c r="J3" s="30" t="s">
        <v>188</v>
      </c>
      <c r="K3" s="30" t="s">
        <v>188</v>
      </c>
      <c r="L3" s="30" t="s">
        <v>47</v>
      </c>
      <c r="M3" s="30" t="s">
        <v>47</v>
      </c>
      <c r="N3" s="30" t="s">
        <v>47</v>
      </c>
      <c r="O3" s="30" t="s">
        <v>47</v>
      </c>
      <c r="P3" s="30" t="s">
        <v>47</v>
      </c>
      <c r="Q3" s="30" t="s">
        <v>47</v>
      </c>
      <c r="R3" s="30" t="s">
        <v>47</v>
      </c>
      <c r="S3" s="30" t="s">
        <v>47</v>
      </c>
      <c r="T3" s="30" t="s">
        <v>47</v>
      </c>
      <c r="U3" s="30" t="s">
        <v>47</v>
      </c>
      <c r="V3" s="30" t="s">
        <v>47</v>
      </c>
      <c r="W3" s="30" t="s">
        <v>188</v>
      </c>
      <c r="X3" s="30" t="s">
        <v>47</v>
      </c>
      <c r="Y3" s="30" t="s">
        <v>47</v>
      </c>
      <c r="Z3" s="30" t="s">
        <v>47</v>
      </c>
      <c r="AA3" s="30" t="s">
        <v>47</v>
      </c>
      <c r="AB3" s="30" t="s">
        <v>47</v>
      </c>
      <c r="AC3" s="30" t="s">
        <v>47</v>
      </c>
      <c r="AD3" s="30" t="s">
        <v>47</v>
      </c>
      <c r="AE3" s="30" t="s">
        <v>47</v>
      </c>
      <c r="AF3" s="30" t="s">
        <v>47</v>
      </c>
      <c r="AG3" s="30" t="s">
        <v>47</v>
      </c>
      <c r="AH3" s="30" t="s">
        <v>102</v>
      </c>
      <c r="AI3" s="30" t="s">
        <v>188</v>
      </c>
      <c r="AJ3" s="30" t="s">
        <v>188</v>
      </c>
      <c r="AK3" s="30" t="s">
        <v>188</v>
      </c>
      <c r="AL3" s="30" t="s">
        <v>47</v>
      </c>
      <c r="AM3" s="30" t="s">
        <v>102</v>
      </c>
      <c r="AN3" s="30" t="s">
        <v>102</v>
      </c>
      <c r="AO3" s="30" t="s">
        <v>102</v>
      </c>
      <c r="AP3" s="30" t="s">
        <v>102</v>
      </c>
      <c r="AQ3" s="30" t="s">
        <v>102</v>
      </c>
      <c r="AR3" s="30" t="s">
        <v>102</v>
      </c>
      <c r="AS3" s="30" t="s">
        <v>188</v>
      </c>
      <c r="AT3" s="30" t="s">
        <v>188</v>
      </c>
      <c r="AU3" s="30" t="s">
        <v>188</v>
      </c>
      <c r="AV3" s="30" t="s">
        <v>188</v>
      </c>
      <c r="AW3" s="30" t="s">
        <v>188</v>
      </c>
      <c r="AX3" s="30" t="s">
        <v>47</v>
      </c>
      <c r="AY3" s="30" t="s">
        <v>47</v>
      </c>
      <c r="AZ3" s="30" t="s">
        <v>47</v>
      </c>
      <c r="BA3" s="30" t="s">
        <v>188</v>
      </c>
      <c r="BB3" s="30" t="s">
        <v>47</v>
      </c>
      <c r="BC3" s="30" t="s">
        <v>47</v>
      </c>
      <c r="BD3" s="30" t="s">
        <v>47</v>
      </c>
      <c r="BE3" s="30" t="s">
        <v>47</v>
      </c>
      <c r="BF3" s="30" t="s">
        <v>47</v>
      </c>
      <c r="BG3" s="30" t="s">
        <v>47</v>
      </c>
      <c r="BH3" s="30" t="s">
        <v>188</v>
      </c>
      <c r="BI3" s="30" t="s">
        <v>188</v>
      </c>
      <c r="BJ3" s="30" t="s">
        <v>102</v>
      </c>
      <c r="BK3" s="30" t="s">
        <v>102</v>
      </c>
      <c r="BL3" s="30" t="s">
        <v>102</v>
      </c>
      <c r="BM3" s="30" t="s">
        <v>188</v>
      </c>
      <c r="BN3" s="30" t="s">
        <v>188</v>
      </c>
    </row>
    <row r="4" customFormat="false" ht="16.8" hidden="false" customHeight="false" outlineLevel="0" collapsed="false">
      <c r="A4" s="34" t="s">
        <v>855</v>
      </c>
      <c r="B4" s="4" t="n">
        <v>16896</v>
      </c>
      <c r="C4" s="4" t="n">
        <v>16896</v>
      </c>
      <c r="D4" s="4" t="n">
        <v>16896</v>
      </c>
      <c r="E4" s="4" t="n">
        <v>24064</v>
      </c>
      <c r="F4" s="4" t="n">
        <v>19968</v>
      </c>
      <c r="G4" s="4" t="n">
        <v>14080</v>
      </c>
      <c r="H4" s="4" t="n">
        <v>10496</v>
      </c>
      <c r="I4" s="4" t="n">
        <v>8960</v>
      </c>
      <c r="J4" s="4" t="n">
        <v>21760</v>
      </c>
      <c r="K4" s="4" t="n">
        <v>21760</v>
      </c>
      <c r="L4" s="4" t="n">
        <v>16896</v>
      </c>
      <c r="M4" s="4" t="n">
        <v>16896</v>
      </c>
      <c r="N4" s="4" t="n">
        <v>16896</v>
      </c>
      <c r="O4" s="4" t="n">
        <v>16896</v>
      </c>
      <c r="P4" s="4" t="n">
        <v>14592</v>
      </c>
      <c r="Q4" s="4" t="n">
        <v>14592</v>
      </c>
      <c r="R4" s="4" t="n">
        <v>9984</v>
      </c>
      <c r="S4" s="4" t="n">
        <v>18176</v>
      </c>
      <c r="T4" s="4" t="n">
        <v>18176</v>
      </c>
      <c r="U4" s="4" t="n">
        <v>11776</v>
      </c>
      <c r="V4" s="13"/>
      <c r="W4" s="4" t="n">
        <v>16384</v>
      </c>
      <c r="X4" s="4" t="n">
        <v>6912</v>
      </c>
      <c r="Y4" s="4" t="n">
        <v>6912</v>
      </c>
      <c r="Z4" s="4" t="n">
        <v>6912</v>
      </c>
      <c r="AA4" s="4" t="n">
        <v>6912</v>
      </c>
      <c r="AB4" s="4" t="n">
        <v>10752</v>
      </c>
      <c r="AC4" s="4" t="n">
        <v>10752</v>
      </c>
      <c r="AD4" s="4" t="n">
        <v>10752</v>
      </c>
      <c r="AE4" s="4" t="n">
        <v>3584</v>
      </c>
      <c r="AF4" s="4" t="n">
        <v>3584</v>
      </c>
      <c r="AG4" s="4" t="n">
        <v>9216</v>
      </c>
      <c r="AH4" s="4" t="n">
        <v>10752</v>
      </c>
      <c r="AI4" s="4" t="n">
        <v>10496</v>
      </c>
      <c r="AJ4" s="4" t="n">
        <v>8704</v>
      </c>
      <c r="AK4" s="4" t="n">
        <v>5888</v>
      </c>
      <c r="AL4" s="4" t="n">
        <v>2560</v>
      </c>
      <c r="AM4" s="4" t="n">
        <v>4608</v>
      </c>
      <c r="AN4" s="4" t="n">
        <v>4608</v>
      </c>
      <c r="AO4" s="4" t="n">
        <v>4608</v>
      </c>
      <c r="AP4" s="4" t="n">
        <v>4608</v>
      </c>
      <c r="AQ4" s="4" t="n">
        <v>3072</v>
      </c>
      <c r="AR4" s="4" t="n">
        <v>2304</v>
      </c>
      <c r="AS4" s="4" t="n">
        <v>4608</v>
      </c>
      <c r="AT4" s="4" t="n">
        <v>4352</v>
      </c>
      <c r="AU4" s="4" t="n">
        <v>3072</v>
      </c>
      <c r="AV4" s="4" t="n">
        <v>2944</v>
      </c>
      <c r="AW4" s="4" t="n">
        <v>2304</v>
      </c>
      <c r="AX4" s="4" t="n">
        <v>5120</v>
      </c>
      <c r="AY4" s="4" t="n">
        <v>5120</v>
      </c>
      <c r="AZ4" s="4" t="n">
        <v>5120</v>
      </c>
      <c r="BA4" s="4" t="n">
        <v>5120</v>
      </c>
      <c r="BB4" s="4" t="n">
        <v>5120</v>
      </c>
      <c r="BC4" s="4" t="n">
        <v>3584</v>
      </c>
      <c r="BD4" s="4" t="n">
        <v>3584</v>
      </c>
      <c r="BE4" s="4" t="n">
        <v>3584</v>
      </c>
      <c r="BF4" s="4" t="n">
        <v>3840</v>
      </c>
      <c r="BG4" s="4" t="n">
        <v>2560</v>
      </c>
      <c r="BH4" s="4" t="n">
        <v>3840</v>
      </c>
      <c r="BI4" s="4" t="n">
        <v>3584</v>
      </c>
      <c r="BJ4" s="4" t="n">
        <v>3840</v>
      </c>
      <c r="BK4" s="4" t="n">
        <v>2560</v>
      </c>
      <c r="BL4" s="4" t="n">
        <v>1792</v>
      </c>
      <c r="BM4" s="4" t="n">
        <v>10752</v>
      </c>
      <c r="BN4" s="4" t="n">
        <v>8960</v>
      </c>
    </row>
    <row r="5" customFormat="false" ht="16.8" hidden="false" customHeight="false" outlineLevel="0" collapsed="false">
      <c r="A5" s="34" t="s">
        <v>856</v>
      </c>
      <c r="B5" s="4" t="n">
        <v>528</v>
      </c>
      <c r="C5" s="4" t="n">
        <v>528</v>
      </c>
      <c r="D5" s="4" t="n">
        <v>528</v>
      </c>
      <c r="E5" s="4" t="n">
        <v>752</v>
      </c>
      <c r="F5" s="4" t="n">
        <v>624</v>
      </c>
      <c r="G5" s="4" t="n">
        <v>440</v>
      </c>
      <c r="H5" s="4" t="n">
        <v>328</v>
      </c>
      <c r="I5" s="4" t="n">
        <v>280</v>
      </c>
      <c r="J5" s="4" t="n">
        <v>680</v>
      </c>
      <c r="K5" s="4" t="n">
        <v>680</v>
      </c>
      <c r="L5" s="4" t="n">
        <v>528</v>
      </c>
      <c r="M5" s="4" t="n">
        <v>528</v>
      </c>
      <c r="N5" s="4" t="n">
        <v>528</v>
      </c>
      <c r="O5" s="4" t="n">
        <v>528</v>
      </c>
      <c r="P5" s="4" t="n">
        <v>456</v>
      </c>
      <c r="Q5" s="4" t="n">
        <v>456</v>
      </c>
      <c r="R5" s="4" t="n">
        <v>312</v>
      </c>
      <c r="S5" s="4" t="n">
        <v>568</v>
      </c>
      <c r="T5" s="4" t="n">
        <v>568</v>
      </c>
      <c r="U5" s="4" t="n">
        <v>368</v>
      </c>
      <c r="V5" s="13"/>
      <c r="W5" s="4" t="n">
        <v>512</v>
      </c>
      <c r="X5" s="4" t="n">
        <v>432</v>
      </c>
      <c r="Y5" s="4" t="n">
        <v>432</v>
      </c>
      <c r="Z5" s="4" t="n">
        <v>432</v>
      </c>
      <c r="AA5" s="4" t="n">
        <v>432</v>
      </c>
      <c r="AB5" s="4" t="n">
        <v>336</v>
      </c>
      <c r="AC5" s="4" t="n">
        <v>336</v>
      </c>
      <c r="AD5" s="4" t="n">
        <v>336</v>
      </c>
      <c r="AE5" s="4" t="n">
        <v>224</v>
      </c>
      <c r="AF5" s="4" t="n">
        <v>224</v>
      </c>
      <c r="AG5" s="4" t="n">
        <v>288</v>
      </c>
      <c r="AH5" s="4" t="n">
        <v>336</v>
      </c>
      <c r="AI5" s="4" t="n">
        <v>328</v>
      </c>
      <c r="AJ5" s="4" t="n">
        <v>272</v>
      </c>
      <c r="AK5" s="4" t="n">
        <v>184</v>
      </c>
      <c r="AL5" s="4" t="n">
        <v>320</v>
      </c>
      <c r="AM5" s="4" t="n">
        <v>576</v>
      </c>
      <c r="AN5" s="4" t="n">
        <v>576</v>
      </c>
      <c r="AO5" s="4" t="n">
        <v>576</v>
      </c>
      <c r="AP5" s="4" t="n">
        <v>576</v>
      </c>
      <c r="AQ5" s="4" t="n">
        <v>384</v>
      </c>
      <c r="AR5" s="4" t="n">
        <v>288</v>
      </c>
      <c r="AS5" s="4" t="n">
        <v>576</v>
      </c>
      <c r="AT5" s="4" t="n">
        <v>544</v>
      </c>
      <c r="AU5" s="4" t="n">
        <v>384</v>
      </c>
      <c r="AV5" s="4" t="n">
        <v>368</v>
      </c>
      <c r="AW5" s="4" t="n">
        <v>288</v>
      </c>
      <c r="AX5" s="4" t="n">
        <v>640</v>
      </c>
      <c r="AY5" s="4" t="n">
        <v>640</v>
      </c>
      <c r="AZ5" s="4" t="n">
        <v>640</v>
      </c>
      <c r="BA5" s="4" t="n">
        <v>640</v>
      </c>
      <c r="BB5" s="4" t="n">
        <v>640</v>
      </c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 t="n">
        <v>336</v>
      </c>
      <c r="BN5" s="13" t="n">
        <v>280</v>
      </c>
    </row>
    <row r="6" customFormat="false" ht="16.8" hidden="false" customHeight="false" outlineLevel="0" collapsed="false">
      <c r="A6" s="34" t="s">
        <v>857</v>
      </c>
      <c r="B6" s="4" t="n">
        <v>83</v>
      </c>
      <c r="C6" s="4" t="n">
        <v>75</v>
      </c>
      <c r="D6" s="4" t="n">
        <v>75</v>
      </c>
      <c r="E6" s="4" t="n">
        <v>125</v>
      </c>
      <c r="F6" s="4" t="n">
        <v>97</v>
      </c>
      <c r="G6" s="4" t="n">
        <v>65</v>
      </c>
      <c r="H6" s="4" t="n">
        <v>51</v>
      </c>
      <c r="I6" s="4" t="n">
        <v>40</v>
      </c>
      <c r="J6" s="4" t="n">
        <v>104.8</v>
      </c>
      <c r="K6" s="4" t="n">
        <v>104.8</v>
      </c>
      <c r="L6" s="4" t="n">
        <v>67</v>
      </c>
      <c r="M6" s="4" t="n">
        <v>60</v>
      </c>
      <c r="N6" s="4" t="n">
        <v>67</v>
      </c>
      <c r="O6" s="4" t="n">
        <v>67</v>
      </c>
      <c r="P6" s="4" t="n">
        <v>51</v>
      </c>
      <c r="Q6" s="4" t="n">
        <v>51</v>
      </c>
      <c r="R6" s="4" t="n">
        <v>44</v>
      </c>
      <c r="S6" s="4" t="n">
        <v>91.61</v>
      </c>
      <c r="T6" s="4" t="n">
        <v>90.52</v>
      </c>
      <c r="U6" s="4" t="n">
        <v>59.8</v>
      </c>
      <c r="V6" s="4" t="n">
        <v>24.1</v>
      </c>
      <c r="W6" s="4" t="n">
        <v>82.6</v>
      </c>
      <c r="X6" s="4" t="n">
        <v>19.49</v>
      </c>
      <c r="Y6" s="4" t="n">
        <v>19.49</v>
      </c>
      <c r="Z6" s="4" t="n">
        <v>19</v>
      </c>
      <c r="AA6" s="4" t="n">
        <v>17</v>
      </c>
      <c r="AB6" s="4" t="n">
        <v>37</v>
      </c>
      <c r="AC6" s="4" t="n">
        <v>37</v>
      </c>
      <c r="AD6" s="4" t="n">
        <v>37</v>
      </c>
      <c r="AE6" s="4" t="n">
        <v>10</v>
      </c>
      <c r="AF6" s="4" t="n">
        <v>10</v>
      </c>
      <c r="AG6" s="4" t="n">
        <v>31</v>
      </c>
      <c r="AH6" s="4" t="n">
        <v>38</v>
      </c>
      <c r="AI6" s="4" t="n">
        <v>35</v>
      </c>
      <c r="AJ6" s="4" t="n">
        <v>30</v>
      </c>
      <c r="AK6" s="4" t="n">
        <v>20</v>
      </c>
      <c r="AL6" s="4" t="n">
        <v>8</v>
      </c>
      <c r="AM6" s="4" t="n">
        <v>16</v>
      </c>
      <c r="AN6" s="4" t="n">
        <v>14.9</v>
      </c>
      <c r="AO6" s="4" t="n">
        <v>16</v>
      </c>
      <c r="AP6" s="4" t="n">
        <v>14.9</v>
      </c>
      <c r="AQ6" s="4" t="n">
        <v>11</v>
      </c>
      <c r="AR6" s="4" t="n">
        <v>7.1</v>
      </c>
      <c r="AS6" s="4" t="n">
        <v>16</v>
      </c>
      <c r="AT6" s="4" t="n">
        <v>14</v>
      </c>
      <c r="AU6" s="4" t="n">
        <v>11</v>
      </c>
      <c r="AV6" s="4" t="n">
        <v>10</v>
      </c>
      <c r="AW6" s="4" t="n">
        <v>7.5</v>
      </c>
      <c r="AX6" s="4" t="n">
        <v>16.4</v>
      </c>
      <c r="AY6" s="4" t="n">
        <v>15</v>
      </c>
      <c r="AZ6" s="4" t="n">
        <v>14</v>
      </c>
      <c r="BA6" s="4" t="n">
        <v>13.8</v>
      </c>
      <c r="BB6" s="4" t="n">
        <v>14.8</v>
      </c>
      <c r="BC6" s="4" t="n">
        <v>10.3</v>
      </c>
      <c r="BD6" s="4" t="n">
        <v>10.6</v>
      </c>
      <c r="BE6" s="4" t="n">
        <v>9.3</v>
      </c>
      <c r="BF6" s="4" t="n">
        <v>12</v>
      </c>
      <c r="BG6" s="4" t="n">
        <v>5.5</v>
      </c>
      <c r="BH6" s="4" t="n">
        <v>12</v>
      </c>
      <c r="BI6" s="4" t="n">
        <v>11.4</v>
      </c>
      <c r="BJ6" s="4" t="n">
        <v>12</v>
      </c>
      <c r="BK6" s="4" t="n">
        <v>8.9</v>
      </c>
      <c r="BL6" s="4" t="n">
        <v>5.3</v>
      </c>
      <c r="BM6" s="4" t="n">
        <v>56.3</v>
      </c>
      <c r="BN6" s="4" t="n">
        <v>43.9</v>
      </c>
    </row>
    <row r="7" customFormat="false" ht="16.8" hidden="false" customHeight="false" outlineLevel="0" collapsed="false">
      <c r="A7" s="34" t="s">
        <v>858</v>
      </c>
      <c r="B7" s="4" t="n">
        <v>2500</v>
      </c>
      <c r="C7" s="4" t="n">
        <v>2250</v>
      </c>
      <c r="D7" s="4" t="n">
        <v>2250</v>
      </c>
      <c r="E7" s="4" t="n">
        <v>500</v>
      </c>
      <c r="F7" s="4" t="n">
        <v>388</v>
      </c>
      <c r="G7" s="4" t="n">
        <v>260</v>
      </c>
      <c r="H7" s="4" t="n">
        <v>204</v>
      </c>
      <c r="I7" s="4" t="n">
        <v>160</v>
      </c>
      <c r="J7" s="4" t="n">
        <v>419</v>
      </c>
      <c r="K7" s="4" t="n">
        <v>297</v>
      </c>
      <c r="L7" s="4" t="n">
        <v>989</v>
      </c>
      <c r="M7" s="4" t="n">
        <v>835</v>
      </c>
      <c r="N7" s="4" t="n">
        <v>989</v>
      </c>
      <c r="O7" s="4" t="n">
        <v>989</v>
      </c>
      <c r="P7" s="4" t="n">
        <v>756</v>
      </c>
      <c r="Q7" s="4" t="n">
        <v>756</v>
      </c>
      <c r="R7" s="4" t="n">
        <v>148</v>
      </c>
      <c r="S7" s="4" t="n">
        <v>362.05</v>
      </c>
      <c r="T7" s="4" t="n">
        <v>181</v>
      </c>
      <c r="U7" s="4" t="n">
        <v>119.5</v>
      </c>
      <c r="V7" s="4" t="n">
        <v>48.3</v>
      </c>
      <c r="W7" s="4" t="n">
        <v>330.3</v>
      </c>
      <c r="X7" s="4" t="n">
        <v>312</v>
      </c>
      <c r="Y7" s="4" t="n">
        <v>312</v>
      </c>
      <c r="Z7" s="4" t="n">
        <v>312</v>
      </c>
      <c r="AA7" s="4" t="n">
        <v>312</v>
      </c>
      <c r="AB7" s="4" t="n">
        <v>149.7</v>
      </c>
      <c r="AC7" s="4" t="n">
        <v>149.7</v>
      </c>
      <c r="AD7" s="4" t="n">
        <v>149.7</v>
      </c>
      <c r="AE7" s="4" t="n">
        <v>165</v>
      </c>
      <c r="AF7" s="4" t="n">
        <v>165</v>
      </c>
      <c r="AG7" s="4" t="n">
        <v>125</v>
      </c>
      <c r="AH7" s="4" t="n">
        <v>154.8</v>
      </c>
      <c r="AI7" s="4" t="n">
        <v>142.4</v>
      </c>
      <c r="AJ7" s="4" t="n">
        <v>119.1</v>
      </c>
      <c r="AK7" s="4" t="n">
        <v>81.3</v>
      </c>
      <c r="AL7" s="13" t="n">
        <v>65</v>
      </c>
      <c r="AM7" s="13" t="n">
        <v>130.5</v>
      </c>
      <c r="AN7" s="13" t="n">
        <v>119</v>
      </c>
      <c r="AO7" s="13" t="n">
        <v>130.5</v>
      </c>
      <c r="AP7" s="13" t="n">
        <v>119</v>
      </c>
      <c r="AQ7" s="13" t="n">
        <v>89.2</v>
      </c>
      <c r="AR7" s="13" t="n">
        <v>57</v>
      </c>
      <c r="AS7" s="4" t="n">
        <v>130.5</v>
      </c>
      <c r="AT7" s="13" t="n">
        <v>113.8</v>
      </c>
      <c r="AU7" s="13" t="n">
        <v>89.2</v>
      </c>
      <c r="AV7" s="13" t="n">
        <v>84.8</v>
      </c>
      <c r="AW7" s="13" t="n">
        <v>59.7</v>
      </c>
      <c r="AX7" s="13" t="n">
        <v>130</v>
      </c>
      <c r="AY7" s="13" t="n">
        <v>125</v>
      </c>
      <c r="AZ7" s="13" t="n">
        <v>112</v>
      </c>
      <c r="BA7" s="13" t="n">
        <v>110</v>
      </c>
      <c r="BB7" s="13" t="n">
        <v>118.5</v>
      </c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 t="n">
        <v>225.4</v>
      </c>
      <c r="BN7" s="13" t="n">
        <v>175.6</v>
      </c>
    </row>
    <row r="8" customFormat="false" ht="16.8" hidden="false" customHeight="false" outlineLevel="0" collapsed="false">
      <c r="A8" s="34" t="s">
        <v>859</v>
      </c>
      <c r="B8" s="4" t="n">
        <v>5000</v>
      </c>
      <c r="C8" s="4" t="n">
        <v>4500</v>
      </c>
      <c r="D8" s="4" t="n">
        <v>4500</v>
      </c>
      <c r="E8" s="4" t="n">
        <v>1000</v>
      </c>
      <c r="F8" s="4" t="n">
        <v>776</v>
      </c>
      <c r="G8" s="4" t="n">
        <v>520</v>
      </c>
      <c r="H8" s="4" t="n">
        <v>408</v>
      </c>
      <c r="I8" s="4" t="n">
        <v>320</v>
      </c>
      <c r="J8" s="4" t="n">
        <v>838</v>
      </c>
      <c r="K8" s="4" t="n">
        <v>595</v>
      </c>
      <c r="L8" s="4" t="n">
        <v>1979</v>
      </c>
      <c r="M8" s="4" t="n">
        <v>1671</v>
      </c>
      <c r="N8" s="4" t="n">
        <v>1979</v>
      </c>
      <c r="O8" s="4" t="n">
        <v>1979</v>
      </c>
      <c r="P8" s="4" t="n">
        <v>1513</v>
      </c>
      <c r="Q8" s="4" t="n">
        <v>1513</v>
      </c>
      <c r="R8" s="4" t="n">
        <v>296</v>
      </c>
      <c r="S8" s="4" t="n">
        <v>733</v>
      </c>
      <c r="T8" s="4" t="n">
        <v>362</v>
      </c>
      <c r="U8" s="4" t="n">
        <v>239</v>
      </c>
      <c r="V8" s="4" t="n">
        <v>96.5</v>
      </c>
      <c r="W8" s="4" t="n">
        <v>660.6</v>
      </c>
      <c r="X8" s="13" t="n">
        <v>624</v>
      </c>
      <c r="Y8" s="13" t="n">
        <v>624</v>
      </c>
      <c r="Z8" s="13" t="n">
        <v>624</v>
      </c>
      <c r="AA8" s="13" t="n">
        <v>624</v>
      </c>
      <c r="AB8" s="13" t="n">
        <v>299.3</v>
      </c>
      <c r="AC8" s="13" t="n">
        <v>299.3</v>
      </c>
      <c r="AD8" s="13" t="n">
        <v>299.3</v>
      </c>
      <c r="AE8" s="13" t="n">
        <v>330</v>
      </c>
      <c r="AF8" s="13" t="n">
        <v>330</v>
      </c>
      <c r="AG8" s="13" t="n">
        <v>250</v>
      </c>
      <c r="AH8" s="13" t="n">
        <v>309.7</v>
      </c>
      <c r="AI8" s="13" t="n">
        <v>284.7</v>
      </c>
      <c r="AJ8" s="13" t="n">
        <v>238.2</v>
      </c>
      <c r="AK8" s="13" t="n">
        <v>162.6</v>
      </c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 t="n">
        <v>450.7</v>
      </c>
      <c r="BN8" s="13" t="n">
        <v>351.3</v>
      </c>
    </row>
    <row r="9" customFormat="false" ht="16.8" hidden="false" customHeight="false" outlineLevel="0" collapsed="false">
      <c r="A9" s="34" t="s">
        <v>860</v>
      </c>
      <c r="B9" s="4" t="n">
        <v>375</v>
      </c>
      <c r="C9" s="4" t="n">
        <v>375</v>
      </c>
      <c r="D9" s="4" t="n">
        <v>9000</v>
      </c>
      <c r="E9" s="4" t="n">
        <v>2000</v>
      </c>
      <c r="F9" s="4" t="n">
        <v>1552</v>
      </c>
      <c r="G9" s="4" t="n">
        <v>1040</v>
      </c>
      <c r="H9" s="4" t="n">
        <v>816</v>
      </c>
      <c r="I9" s="4" t="n">
        <v>640</v>
      </c>
      <c r="J9" s="4" t="n">
        <v>1676</v>
      </c>
      <c r="K9" s="4" t="n">
        <v>1190</v>
      </c>
      <c r="L9" s="4" t="n">
        <v>3958</v>
      </c>
      <c r="M9" s="4" t="n">
        <v>3341</v>
      </c>
      <c r="N9" s="4" t="n">
        <v>3958</v>
      </c>
      <c r="O9" s="4" t="n">
        <v>3958</v>
      </c>
      <c r="P9" s="4" t="n">
        <v>3026</v>
      </c>
      <c r="Q9" s="4" t="n">
        <v>3026</v>
      </c>
      <c r="R9" s="4" t="n">
        <v>592</v>
      </c>
      <c r="S9" s="4" t="n">
        <v>1466</v>
      </c>
      <c r="T9" s="4" t="n">
        <v>724</v>
      </c>
      <c r="U9" s="4" t="n">
        <v>478</v>
      </c>
      <c r="V9" s="4" t="n">
        <v>193</v>
      </c>
      <c r="W9" s="4" t="n">
        <v>1321</v>
      </c>
      <c r="X9" s="4" t="n">
        <v>1248</v>
      </c>
      <c r="Y9" s="4" t="n">
        <v>1248</v>
      </c>
      <c r="Z9" s="4" t="n">
        <v>1248</v>
      </c>
      <c r="AA9" s="4" t="n">
        <v>1248</v>
      </c>
      <c r="AB9" s="4" t="n">
        <v>598.6</v>
      </c>
      <c r="AC9" s="4" t="n">
        <v>598.6</v>
      </c>
      <c r="AD9" s="4" t="n">
        <v>598.6</v>
      </c>
      <c r="AE9" s="4" t="n">
        <v>661</v>
      </c>
      <c r="AF9" s="4" t="n">
        <v>661</v>
      </c>
      <c r="AG9" s="4" t="n">
        <v>500</v>
      </c>
      <c r="AH9" s="4" t="n">
        <v>619.4</v>
      </c>
      <c r="AI9" s="4" t="n">
        <v>569.4</v>
      </c>
      <c r="AJ9" s="4" t="n">
        <v>476.4</v>
      </c>
      <c r="AK9" s="4" t="n">
        <v>325.2</v>
      </c>
      <c r="AL9" s="4" t="n">
        <v>130</v>
      </c>
      <c r="AM9" s="4" t="n">
        <v>261</v>
      </c>
      <c r="AN9" s="4" t="n">
        <v>238</v>
      </c>
      <c r="AO9" s="4" t="n">
        <v>261</v>
      </c>
      <c r="AP9" s="4" t="n">
        <v>238</v>
      </c>
      <c r="AQ9" s="4" t="n">
        <v>178</v>
      </c>
      <c r="AR9" s="4" t="n">
        <v>114</v>
      </c>
      <c r="AS9" s="4" t="n">
        <v>261</v>
      </c>
      <c r="AT9" s="4" t="n">
        <v>227</v>
      </c>
      <c r="AU9" s="4" t="n">
        <v>178</v>
      </c>
      <c r="AV9" s="4" t="n">
        <v>170</v>
      </c>
      <c r="AW9" s="4" t="n">
        <v>119</v>
      </c>
      <c r="AX9" s="4" t="n">
        <v>66</v>
      </c>
      <c r="AY9" s="4" t="n">
        <v>63</v>
      </c>
      <c r="AZ9" s="4" t="n">
        <v>56</v>
      </c>
      <c r="BA9" s="4" t="n">
        <v>55</v>
      </c>
      <c r="BB9" s="4" t="n">
        <v>59</v>
      </c>
      <c r="BC9" s="13"/>
      <c r="BD9" s="13"/>
      <c r="BE9" s="13"/>
      <c r="BF9" s="4" t="n">
        <v>47</v>
      </c>
      <c r="BG9" s="4" t="n">
        <v>22</v>
      </c>
      <c r="BH9" s="4" t="n">
        <v>48</v>
      </c>
      <c r="BI9" s="4" t="n">
        <v>45</v>
      </c>
      <c r="BJ9" s="13" t="n">
        <v>48</v>
      </c>
      <c r="BK9" s="13" t="n">
        <v>36</v>
      </c>
      <c r="BL9" s="13" t="n">
        <v>21</v>
      </c>
      <c r="BM9" s="13" t="n">
        <v>901.4</v>
      </c>
      <c r="BN9" s="13" t="n">
        <v>702.6</v>
      </c>
    </row>
    <row r="10" customFormat="false" ht="16.8" hidden="false" customHeight="false" outlineLevel="0" collapsed="false">
      <c r="A10" s="34" t="s">
        <v>861</v>
      </c>
      <c r="B10" s="4" t="n">
        <v>15</v>
      </c>
      <c r="C10" s="4" t="n">
        <v>13.5</v>
      </c>
      <c r="D10" s="4" t="n">
        <v>9</v>
      </c>
      <c r="E10" s="4" t="n">
        <v>2</v>
      </c>
      <c r="F10" s="4" t="n">
        <v>1.6</v>
      </c>
      <c r="G10" s="4" t="n">
        <v>1</v>
      </c>
      <c r="H10" s="4" t="n">
        <v>0.8</v>
      </c>
      <c r="I10" s="4" t="n">
        <v>0.64</v>
      </c>
      <c r="J10" s="4" t="n">
        <v>1.68</v>
      </c>
      <c r="K10" s="4" t="n">
        <v>1.19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 t="n">
        <v>0.9</v>
      </c>
      <c r="BN10" s="13" t="n">
        <v>0.7</v>
      </c>
    </row>
    <row r="11" customFormat="false" ht="16.8" hidden="false" customHeight="false" outlineLevel="0" collapsed="false">
      <c r="A11" s="34" t="s">
        <v>862</v>
      </c>
      <c r="B11" s="4" t="n">
        <v>20</v>
      </c>
      <c r="C11" s="4" t="n">
        <v>18</v>
      </c>
      <c r="D11" s="4" t="n">
        <v>18</v>
      </c>
      <c r="E11" s="4" t="n">
        <v>4</v>
      </c>
      <c r="F11" s="4" t="n">
        <v>3.1</v>
      </c>
      <c r="G11" s="4" t="n">
        <v>2.1</v>
      </c>
      <c r="H11" s="4" t="n">
        <v>1.6</v>
      </c>
      <c r="I11" s="4" t="n">
        <v>1.29</v>
      </c>
      <c r="J11" s="4" t="n">
        <v>3.35</v>
      </c>
      <c r="K11" s="4" t="n">
        <v>2.38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 t="n">
        <v>1.8</v>
      </c>
      <c r="BN11" s="13" t="n">
        <v>1.4</v>
      </c>
    </row>
    <row r="12" customFormat="false" ht="16.8" hidden="false" customHeight="false" outlineLevel="0" collapsed="false">
      <c r="A12" s="33" t="s">
        <v>863</v>
      </c>
      <c r="B12" s="4" t="n">
        <v>288</v>
      </c>
      <c r="C12" s="4" t="n">
        <v>288</v>
      </c>
      <c r="D12" s="4" t="n">
        <v>192</v>
      </c>
      <c r="E12" s="4" t="n">
        <v>96</v>
      </c>
      <c r="F12" s="4" t="n">
        <v>84</v>
      </c>
      <c r="G12" s="4" t="n">
        <v>48</v>
      </c>
      <c r="H12" s="4" t="n">
        <v>32</v>
      </c>
      <c r="I12" s="4" t="n">
        <v>24</v>
      </c>
      <c r="J12" s="4" t="n">
        <v>32</v>
      </c>
      <c r="K12" s="4" t="n">
        <v>32</v>
      </c>
      <c r="L12" s="4" t="n">
        <v>141</v>
      </c>
      <c r="M12" s="4" t="n">
        <v>141</v>
      </c>
      <c r="N12" s="4" t="n">
        <v>80</v>
      </c>
      <c r="O12" s="4" t="n">
        <v>80</v>
      </c>
      <c r="P12" s="4" t="n">
        <v>80</v>
      </c>
      <c r="Q12" s="4" t="n">
        <v>80</v>
      </c>
      <c r="R12" s="4" t="n">
        <v>96</v>
      </c>
      <c r="S12" s="4" t="n">
        <v>48</v>
      </c>
      <c r="T12" s="4" t="n">
        <v>48</v>
      </c>
      <c r="U12" s="4" t="n">
        <v>48</v>
      </c>
      <c r="V12" s="4" t="n">
        <v>24</v>
      </c>
      <c r="W12" s="4" t="n">
        <v>24</v>
      </c>
      <c r="X12" s="4" t="n">
        <v>80</v>
      </c>
      <c r="Y12" s="4" t="n">
        <v>80</v>
      </c>
      <c r="Z12" s="4" t="n">
        <v>40</v>
      </c>
      <c r="AA12" s="4" t="n">
        <v>40</v>
      </c>
      <c r="AB12" s="4" t="n">
        <v>48</v>
      </c>
      <c r="AC12" s="4" t="n">
        <v>48</v>
      </c>
      <c r="AD12" s="4" t="n">
        <v>48</v>
      </c>
      <c r="AE12" s="4" t="n">
        <v>24</v>
      </c>
      <c r="AF12" s="4" t="n">
        <v>24</v>
      </c>
      <c r="AG12" s="4" t="n">
        <v>24</v>
      </c>
      <c r="AH12" s="4" t="n">
        <v>48</v>
      </c>
      <c r="AI12" s="4" t="n">
        <v>24</v>
      </c>
      <c r="AJ12" s="4" t="n">
        <v>10</v>
      </c>
      <c r="AK12" s="4" t="n">
        <v>8</v>
      </c>
      <c r="AL12" s="4" t="n">
        <v>16</v>
      </c>
      <c r="AM12" s="4" t="n">
        <v>48</v>
      </c>
      <c r="AN12" s="4" t="n">
        <v>48</v>
      </c>
      <c r="AO12" s="4" t="n">
        <v>24</v>
      </c>
      <c r="AP12" s="4" t="n">
        <v>24</v>
      </c>
      <c r="AQ12" s="4" t="n">
        <v>16</v>
      </c>
      <c r="AR12" s="4" t="n">
        <v>8</v>
      </c>
      <c r="AS12" s="4" t="n">
        <v>24</v>
      </c>
      <c r="AT12" s="4" t="n">
        <v>11</v>
      </c>
      <c r="AU12" s="4" t="n">
        <v>8</v>
      </c>
      <c r="AV12" s="4" t="n">
        <v>8</v>
      </c>
      <c r="AW12" s="4" t="n">
        <v>8</v>
      </c>
      <c r="AX12" s="4" t="n">
        <v>32</v>
      </c>
      <c r="AY12" s="4" t="n">
        <v>32</v>
      </c>
      <c r="AZ12" s="4" t="n">
        <v>32</v>
      </c>
      <c r="BA12" s="4" t="n">
        <v>12</v>
      </c>
      <c r="BB12" s="4" t="n">
        <v>32</v>
      </c>
      <c r="BC12" s="4" t="n">
        <v>16</v>
      </c>
      <c r="BD12" s="4" t="n">
        <v>16</v>
      </c>
      <c r="BE12" s="4" t="n">
        <v>16</v>
      </c>
      <c r="BF12" s="4" t="n">
        <v>24</v>
      </c>
      <c r="BG12" s="4" t="n">
        <v>8</v>
      </c>
      <c r="BH12" s="4" t="n">
        <v>12</v>
      </c>
      <c r="BI12" s="4" t="n">
        <v>11</v>
      </c>
      <c r="BJ12" s="4" t="n">
        <v>24</v>
      </c>
      <c r="BK12" s="4" t="n">
        <v>16</v>
      </c>
      <c r="BL12" s="4" t="n">
        <v>8</v>
      </c>
      <c r="BM12" s="4" t="n">
        <v>16</v>
      </c>
      <c r="BN12" s="4" t="n">
        <v>16</v>
      </c>
    </row>
    <row r="13" customFormat="false" ht="16.8" hidden="false" customHeight="false" outlineLevel="0" collapsed="false">
      <c r="A13" s="33" t="s">
        <v>864</v>
      </c>
      <c r="B13" s="4" t="n">
        <v>8000</v>
      </c>
      <c r="C13" s="4" t="n">
        <v>8000</v>
      </c>
      <c r="D13" s="4" t="n">
        <v>8000</v>
      </c>
      <c r="E13" s="4" t="n">
        <v>1792</v>
      </c>
      <c r="F13" s="4" t="n">
        <v>1398</v>
      </c>
      <c r="G13" s="4" t="n">
        <v>1344</v>
      </c>
      <c r="H13" s="4" t="n">
        <v>896</v>
      </c>
      <c r="I13" s="4" t="n">
        <v>672</v>
      </c>
      <c r="J13" s="4" t="n">
        <v>1792</v>
      </c>
      <c r="K13" s="4" t="n">
        <v>1792</v>
      </c>
      <c r="L13" s="4" t="n">
        <v>4800</v>
      </c>
      <c r="M13" s="4" t="n">
        <v>4800</v>
      </c>
      <c r="N13" s="4" t="n">
        <v>3350</v>
      </c>
      <c r="O13" s="4" t="n">
        <v>3350</v>
      </c>
      <c r="P13" s="4" t="n">
        <v>2000</v>
      </c>
      <c r="Q13" s="4" t="n">
        <v>2000</v>
      </c>
      <c r="R13" s="4" t="n">
        <v>4000</v>
      </c>
      <c r="S13" s="4" t="n">
        <v>864</v>
      </c>
      <c r="T13" s="4" t="n">
        <v>864</v>
      </c>
      <c r="U13" s="4" t="n">
        <v>864</v>
      </c>
      <c r="V13" s="4" t="n">
        <v>300</v>
      </c>
      <c r="W13" s="4" t="n">
        <v>1008</v>
      </c>
      <c r="X13" s="4" t="n">
        <v>2039</v>
      </c>
      <c r="Y13" s="4" t="n">
        <v>1935</v>
      </c>
      <c r="Z13" s="4" t="n">
        <v>1555</v>
      </c>
      <c r="AA13" s="4" t="n">
        <v>1555</v>
      </c>
      <c r="AB13" s="4" t="n">
        <v>696</v>
      </c>
      <c r="AC13" s="4" t="n">
        <v>696</v>
      </c>
      <c r="AD13" s="4" t="n">
        <v>696</v>
      </c>
      <c r="AE13" s="4" t="n">
        <v>933</v>
      </c>
      <c r="AF13" s="4" t="n">
        <v>933</v>
      </c>
      <c r="AG13" s="4" t="n">
        <v>600</v>
      </c>
      <c r="AH13" s="4" t="n">
        <v>768</v>
      </c>
      <c r="AI13" s="4" t="n">
        <v>935</v>
      </c>
      <c r="AJ13" s="4" t="n">
        <v>760</v>
      </c>
      <c r="AK13" s="4" t="n">
        <v>448</v>
      </c>
      <c r="AL13" s="4" t="n">
        <v>320</v>
      </c>
      <c r="AM13" s="4" t="n">
        <v>672</v>
      </c>
      <c r="AN13" s="4" t="n">
        <v>624</v>
      </c>
      <c r="AO13" s="4" t="n">
        <v>672</v>
      </c>
      <c r="AP13" s="4" t="n">
        <v>624</v>
      </c>
      <c r="AQ13" s="4" t="n">
        <v>448</v>
      </c>
      <c r="AR13" s="4" t="n">
        <v>416</v>
      </c>
      <c r="AS13" s="4" t="n">
        <v>672</v>
      </c>
      <c r="AT13" s="4" t="n">
        <v>616</v>
      </c>
      <c r="AU13" s="4" t="n">
        <v>496</v>
      </c>
      <c r="AV13" s="4" t="n">
        <v>448</v>
      </c>
      <c r="AW13" s="4" t="n">
        <v>448</v>
      </c>
      <c r="AX13" s="4" t="n">
        <v>1134</v>
      </c>
      <c r="AY13" s="4" t="n">
        <v>900</v>
      </c>
      <c r="AZ13" s="4" t="n">
        <v>900</v>
      </c>
      <c r="BA13" s="4" t="n">
        <v>652.8</v>
      </c>
      <c r="BB13" s="4" t="n">
        <v>870</v>
      </c>
      <c r="BC13" s="4" t="n">
        <v>717</v>
      </c>
      <c r="BD13" s="4" t="n">
        <v>732</v>
      </c>
      <c r="BE13" s="4" t="n">
        <v>732</v>
      </c>
      <c r="BF13" s="4" t="n">
        <v>346</v>
      </c>
      <c r="BG13" s="4" t="n">
        <v>192</v>
      </c>
      <c r="BH13" s="4" t="n">
        <v>547.7</v>
      </c>
      <c r="BI13" s="4" t="n">
        <v>484</v>
      </c>
      <c r="BJ13" s="4" t="n">
        <v>432</v>
      </c>
      <c r="BK13" s="4" t="n">
        <v>288</v>
      </c>
      <c r="BL13" s="4" t="n">
        <v>243</v>
      </c>
      <c r="BM13" s="4" t="n">
        <v>960</v>
      </c>
      <c r="BN13" s="4" t="n">
        <v>896</v>
      </c>
    </row>
    <row r="14" customFormat="false" ht="16.8" hidden="false" customHeight="false" outlineLevel="0" collapsed="false">
      <c r="A14" s="34" t="s">
        <v>19</v>
      </c>
      <c r="B14" s="4" t="n">
        <v>1400</v>
      </c>
      <c r="C14" s="4" t="n">
        <v>1400</v>
      </c>
      <c r="D14" s="4" t="n">
        <v>1000</v>
      </c>
      <c r="E14" s="4" t="n">
        <v>600</v>
      </c>
      <c r="F14" s="4" t="n">
        <v>600</v>
      </c>
      <c r="G14" s="4" t="n">
        <v>300</v>
      </c>
      <c r="H14" s="4" t="n">
        <v>200</v>
      </c>
      <c r="I14" s="4" t="n">
        <v>145</v>
      </c>
      <c r="J14" s="4" t="n">
        <v>575</v>
      </c>
      <c r="K14" s="4" t="n">
        <v>575</v>
      </c>
      <c r="L14" s="4" t="n">
        <v>700</v>
      </c>
      <c r="M14" s="4" t="n">
        <v>600</v>
      </c>
      <c r="N14" s="4" t="n">
        <v>700</v>
      </c>
      <c r="O14" s="4" t="n">
        <v>700</v>
      </c>
      <c r="P14" s="4" t="n">
        <v>350</v>
      </c>
      <c r="Q14" s="4" t="n">
        <v>350</v>
      </c>
      <c r="R14" s="4" t="n">
        <v>400</v>
      </c>
      <c r="S14" s="4" t="n">
        <v>350</v>
      </c>
      <c r="T14" s="4" t="n">
        <v>300</v>
      </c>
      <c r="U14" s="4" t="n">
        <v>275</v>
      </c>
      <c r="V14" s="4" t="n">
        <v>70</v>
      </c>
      <c r="W14" s="4" t="n">
        <v>450</v>
      </c>
      <c r="X14" s="4" t="n">
        <v>400</v>
      </c>
      <c r="Y14" s="4" t="n">
        <v>250</v>
      </c>
      <c r="Z14" s="4" t="n">
        <v>400</v>
      </c>
      <c r="AA14" s="4" t="n">
        <v>250</v>
      </c>
      <c r="AB14" s="4" t="n">
        <v>300</v>
      </c>
      <c r="AC14" s="4" t="n">
        <v>300</v>
      </c>
      <c r="AD14" s="4" t="n">
        <v>300</v>
      </c>
      <c r="AE14" s="4" t="n">
        <v>165</v>
      </c>
      <c r="AF14" s="4" t="n">
        <v>165</v>
      </c>
      <c r="AG14" s="4" t="n">
        <v>150</v>
      </c>
      <c r="AH14" s="4" t="n">
        <v>300</v>
      </c>
      <c r="AI14" s="4" t="n">
        <v>350</v>
      </c>
      <c r="AJ14" s="4" t="n">
        <v>320</v>
      </c>
      <c r="AK14" s="4" t="n">
        <v>220</v>
      </c>
      <c r="AL14" s="4" t="n">
        <v>75</v>
      </c>
      <c r="AM14" s="4" t="n">
        <v>260</v>
      </c>
      <c r="AN14" s="4" t="n">
        <v>250</v>
      </c>
      <c r="AO14" s="4" t="n">
        <v>260</v>
      </c>
      <c r="AP14" s="4" t="n">
        <v>250</v>
      </c>
      <c r="AQ14" s="4" t="n">
        <v>230</v>
      </c>
      <c r="AR14" s="4" t="n">
        <v>125</v>
      </c>
      <c r="AS14" s="4" t="n">
        <v>280</v>
      </c>
      <c r="AT14" s="4" t="n">
        <v>260</v>
      </c>
      <c r="AU14" s="4" t="n">
        <v>250</v>
      </c>
      <c r="AV14" s="4" t="n">
        <v>225</v>
      </c>
      <c r="AW14" s="4" t="n">
        <v>185</v>
      </c>
      <c r="AX14" s="4" t="n">
        <v>250</v>
      </c>
      <c r="AY14" s="4" t="n">
        <v>300</v>
      </c>
      <c r="AZ14" s="4" t="n">
        <v>250</v>
      </c>
      <c r="BA14" s="4" t="n">
        <v>250</v>
      </c>
      <c r="BB14" s="4" t="n">
        <v>250</v>
      </c>
      <c r="BC14" s="4" t="n">
        <v>235</v>
      </c>
      <c r="BD14" s="4" t="n">
        <v>300</v>
      </c>
      <c r="BE14" s="4" t="n">
        <v>250</v>
      </c>
      <c r="BF14" s="4" t="n">
        <v>250</v>
      </c>
      <c r="BG14" s="4" t="n">
        <v>75</v>
      </c>
      <c r="BH14" s="4" t="n">
        <v>250</v>
      </c>
      <c r="BI14" s="4" t="n">
        <v>250</v>
      </c>
      <c r="BJ14" s="4" t="n">
        <v>250</v>
      </c>
      <c r="BK14" s="4" t="n">
        <v>180</v>
      </c>
      <c r="BL14" s="4" t="n">
        <v>105</v>
      </c>
      <c r="BM14" s="4" t="n">
        <v>360</v>
      </c>
      <c r="BN14" s="4" t="n">
        <v>300</v>
      </c>
    </row>
    <row r="16" customFormat="false" ht="16.8" hidden="false" customHeight="false" outlineLevel="0" collapsed="false">
      <c r="A16" s="35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3"/>
  <sheetViews>
    <sheetView showFormulas="false" showGridLines="fals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A1" activeCellId="0" sqref="A1"/>
    </sheetView>
  </sheetViews>
  <sheetFormatPr defaultColWidth="8.59765625" defaultRowHeight="16.8" zeroHeight="false" outlineLevelRow="0" outlineLevelCol="0"/>
  <cols>
    <col collapsed="false" customWidth="true" hidden="false" outlineLevel="0" max="1" min="1" style="21" width="3"/>
    <col collapsed="false" customWidth="true" hidden="false" outlineLevel="0" max="2" min="2" style="21" width="30"/>
    <col collapsed="false" customWidth="true" hidden="false" outlineLevel="0" max="3" min="3" style="21" width="22"/>
    <col collapsed="false" customWidth="true" hidden="false" outlineLevel="0" max="4" min="4" style="21" width="28"/>
    <col collapsed="false" customWidth="true" hidden="false" outlineLevel="0" max="6" min="5" style="21" width="42"/>
    <col collapsed="false" customWidth="true" hidden="false" outlineLevel="0" max="7" min="7" style="21" width="14"/>
    <col collapsed="false" customWidth="true" hidden="false" outlineLevel="0" max="8" min="8" style="21" width="46"/>
  </cols>
  <sheetData>
    <row r="2" customFormat="false" ht="25.5" hidden="false" customHeight="true" outlineLevel="0" collapsed="false">
      <c r="B2" s="36" t="s">
        <v>866</v>
      </c>
    </row>
    <row r="4" customFormat="false" ht="39.75" hidden="false" customHeight="true" outlineLevel="0" collapsed="false">
      <c r="B4" s="37" t="s">
        <v>867</v>
      </c>
      <c r="C4" s="37"/>
      <c r="D4" s="37"/>
      <c r="E4" s="37"/>
      <c r="F4" s="37"/>
      <c r="G4" s="37"/>
      <c r="H4" s="37"/>
      <c r="I4" s="37"/>
      <c r="J4" s="37"/>
    </row>
    <row r="5" customFormat="false" ht="39.75" hidden="false" customHeight="true" outlineLevel="0" collapsed="false">
      <c r="B5" s="37" t="s">
        <v>868</v>
      </c>
      <c r="C5" s="37"/>
      <c r="D5" s="37"/>
      <c r="E5" s="37"/>
      <c r="F5" s="37"/>
      <c r="G5" s="37"/>
      <c r="H5" s="37"/>
      <c r="I5" s="37"/>
      <c r="J5" s="37"/>
    </row>
    <row r="6" customFormat="false" ht="25.5" hidden="false" customHeight="true" outlineLevel="0" collapsed="false">
      <c r="B6" s="37" t="s">
        <v>869</v>
      </c>
      <c r="C6" s="37"/>
      <c r="D6" s="37"/>
      <c r="E6" s="37"/>
      <c r="F6" s="37"/>
      <c r="G6" s="37"/>
      <c r="H6" s="37"/>
      <c r="I6" s="37"/>
      <c r="J6" s="37"/>
    </row>
    <row r="7" customFormat="false" ht="39.75" hidden="false" customHeight="true" outlineLevel="0" collapsed="false">
      <c r="B7" s="37" t="s">
        <v>870</v>
      </c>
      <c r="C7" s="37"/>
      <c r="D7" s="37"/>
      <c r="E7" s="37"/>
      <c r="F7" s="37"/>
      <c r="G7" s="37"/>
      <c r="H7" s="37"/>
      <c r="I7" s="37"/>
      <c r="J7" s="37"/>
    </row>
    <row r="8" customFormat="false" ht="39.75" hidden="false" customHeight="true" outlineLevel="0" collapsed="false">
      <c r="B8" s="37" t="s">
        <v>871</v>
      </c>
      <c r="C8" s="37"/>
      <c r="D8" s="37"/>
      <c r="E8" s="37"/>
      <c r="F8" s="37"/>
      <c r="G8" s="37"/>
      <c r="H8" s="37"/>
      <c r="I8" s="37"/>
      <c r="J8" s="37"/>
    </row>
    <row r="9" customFormat="false" ht="39.75" hidden="false" customHeight="true" outlineLevel="0" collapsed="false">
      <c r="B9" s="37" t="s">
        <v>872</v>
      </c>
      <c r="C9" s="37"/>
      <c r="D9" s="37"/>
      <c r="E9" s="37"/>
      <c r="F9" s="37"/>
      <c r="G9" s="37"/>
      <c r="H9" s="37"/>
      <c r="I9" s="37"/>
      <c r="J9" s="37"/>
    </row>
    <row r="11" customFormat="false" ht="15" hidden="false" customHeight="true" outlineLevel="0" collapsed="false">
      <c r="B11" s="38" t="s">
        <v>873</v>
      </c>
    </row>
    <row r="12" customFormat="false" ht="15" hidden="false" customHeight="true" outlineLevel="0" collapsed="false">
      <c r="B12" s="39" t="s">
        <v>874</v>
      </c>
      <c r="C12" s="39" t="s">
        <v>875</v>
      </c>
      <c r="D12" s="39" t="s">
        <v>0</v>
      </c>
      <c r="E12" s="39" t="s">
        <v>876</v>
      </c>
      <c r="F12" s="39" t="s">
        <v>877</v>
      </c>
      <c r="G12" s="39" t="s">
        <v>878</v>
      </c>
      <c r="H12" s="39" t="s">
        <v>879</v>
      </c>
    </row>
    <row r="13" customFormat="false" ht="30" hidden="false" customHeight="true" outlineLevel="0" collapsed="false">
      <c r="B13" s="40" t="n">
        <v>1</v>
      </c>
      <c r="C13" s="40" t="s">
        <v>880</v>
      </c>
      <c r="D13" s="40" t="s">
        <v>881</v>
      </c>
      <c r="E13" s="40" t="s">
        <v>882</v>
      </c>
      <c r="F13" s="40" t="s">
        <v>883</v>
      </c>
      <c r="G13" s="41" t="s">
        <v>884</v>
      </c>
      <c r="H13" s="41" t="s">
        <v>885</v>
      </c>
    </row>
    <row r="14" customFormat="false" ht="30" hidden="false" customHeight="true" outlineLevel="0" collapsed="false">
      <c r="B14" s="40" t="n">
        <v>2</v>
      </c>
      <c r="C14" s="40" t="s">
        <v>886</v>
      </c>
      <c r="D14" s="40" t="s">
        <v>887</v>
      </c>
      <c r="E14" s="41" t="s">
        <v>888</v>
      </c>
      <c r="F14" s="40" t="s">
        <v>889</v>
      </c>
      <c r="G14" s="41" t="s">
        <v>884</v>
      </c>
      <c r="H14" s="41" t="s">
        <v>890</v>
      </c>
    </row>
    <row r="15" customFormat="false" ht="30" hidden="false" customHeight="true" outlineLevel="0" collapsed="false">
      <c r="B15" s="40" t="n">
        <v>3</v>
      </c>
      <c r="C15" s="40" t="s">
        <v>891</v>
      </c>
      <c r="D15" s="40" t="s">
        <v>892</v>
      </c>
      <c r="E15" s="40" t="s">
        <v>893</v>
      </c>
      <c r="F15" s="40" t="s">
        <v>894</v>
      </c>
      <c r="G15" s="41" t="s">
        <v>884</v>
      </c>
      <c r="H15" s="41" t="s">
        <v>895</v>
      </c>
    </row>
    <row r="16" customFormat="false" ht="30" hidden="false" customHeight="true" outlineLevel="0" collapsed="false">
      <c r="B16" s="40" t="n">
        <v>4</v>
      </c>
      <c r="C16" s="40" t="s">
        <v>896</v>
      </c>
      <c r="D16" s="40" t="s">
        <v>897</v>
      </c>
      <c r="E16" s="41" t="s">
        <v>898</v>
      </c>
      <c r="F16" s="41" t="s">
        <v>899</v>
      </c>
      <c r="G16" s="41" t="s">
        <v>900</v>
      </c>
      <c r="H16" s="40" t="s">
        <v>901</v>
      </c>
    </row>
    <row r="17" customFormat="false" ht="30" hidden="false" customHeight="true" outlineLevel="0" collapsed="false">
      <c r="B17" s="40" t="n">
        <v>5</v>
      </c>
      <c r="C17" s="40" t="s">
        <v>902</v>
      </c>
      <c r="D17" s="40" t="s">
        <v>903</v>
      </c>
      <c r="E17" s="41" t="s">
        <v>904</v>
      </c>
      <c r="F17" s="41" t="s">
        <v>905</v>
      </c>
      <c r="G17" s="41" t="s">
        <v>900</v>
      </c>
      <c r="H17" s="40" t="s">
        <v>906</v>
      </c>
    </row>
    <row r="18" customFormat="false" ht="30" hidden="false" customHeight="true" outlineLevel="0" collapsed="false">
      <c r="B18" s="40" t="n">
        <v>6</v>
      </c>
      <c r="C18" s="40" t="s">
        <v>907</v>
      </c>
      <c r="D18" s="40" t="s">
        <v>908</v>
      </c>
      <c r="E18" s="40" t="s">
        <v>909</v>
      </c>
      <c r="F18" s="40" t="s">
        <v>910</v>
      </c>
      <c r="G18" s="41" t="s">
        <v>911</v>
      </c>
      <c r="H18" s="40" t="s">
        <v>912</v>
      </c>
    </row>
    <row r="19" customFormat="false" ht="30" hidden="false" customHeight="true" outlineLevel="0" collapsed="false">
      <c r="B19" s="40" t="n">
        <v>7</v>
      </c>
      <c r="C19" s="40" t="s">
        <v>913</v>
      </c>
      <c r="D19" s="40" t="s">
        <v>914</v>
      </c>
      <c r="E19" s="41" t="s">
        <v>915</v>
      </c>
      <c r="F19" s="40" t="s">
        <v>916</v>
      </c>
      <c r="G19" s="41" t="s">
        <v>917</v>
      </c>
      <c r="H19" s="40" t="s">
        <v>918</v>
      </c>
    </row>
    <row r="20" customFormat="false" ht="30" hidden="false" customHeight="true" outlineLevel="0" collapsed="false">
      <c r="B20" s="40" t="n">
        <v>8</v>
      </c>
      <c r="C20" s="40" t="s">
        <v>919</v>
      </c>
      <c r="D20" s="40" t="s">
        <v>389</v>
      </c>
      <c r="E20" s="40" t="s">
        <v>920</v>
      </c>
      <c r="F20" s="40" t="s">
        <v>394</v>
      </c>
      <c r="G20" s="41" t="s">
        <v>900</v>
      </c>
      <c r="H20" s="40" t="s">
        <v>921</v>
      </c>
    </row>
    <row r="21" customFormat="false" ht="30" hidden="false" customHeight="true" outlineLevel="0" collapsed="false">
      <c r="B21" s="40" t="n">
        <v>9</v>
      </c>
      <c r="C21" s="40" t="s">
        <v>922</v>
      </c>
      <c r="D21" s="40" t="s">
        <v>389</v>
      </c>
      <c r="E21" s="40" t="s">
        <v>923</v>
      </c>
      <c r="F21" s="40" t="s">
        <v>924</v>
      </c>
      <c r="G21" s="41" t="s">
        <v>900</v>
      </c>
      <c r="H21" s="40" t="s">
        <v>925</v>
      </c>
    </row>
    <row r="22" customFormat="false" ht="30" hidden="false" customHeight="true" outlineLevel="0" collapsed="false">
      <c r="B22" s="40" t="n">
        <v>10</v>
      </c>
      <c r="C22" s="40" t="s">
        <v>926</v>
      </c>
      <c r="D22" s="40" t="s">
        <v>512</v>
      </c>
      <c r="E22" s="40" t="s">
        <v>416</v>
      </c>
      <c r="F22" s="40" t="s">
        <v>513</v>
      </c>
      <c r="G22" s="41" t="s">
        <v>900</v>
      </c>
      <c r="H22" s="40" t="s">
        <v>927</v>
      </c>
    </row>
    <row r="23" customFormat="false" ht="30" hidden="false" customHeight="true" outlineLevel="0" collapsed="false">
      <c r="B23" s="40" t="n">
        <v>11</v>
      </c>
      <c r="C23" s="40" t="s">
        <v>928</v>
      </c>
      <c r="D23" s="40" t="s">
        <v>611</v>
      </c>
      <c r="E23" s="40" t="s">
        <v>929</v>
      </c>
      <c r="F23" s="40" t="s">
        <v>930</v>
      </c>
      <c r="G23" s="41" t="s">
        <v>911</v>
      </c>
      <c r="H23" s="41" t="s">
        <v>931</v>
      </c>
    </row>
    <row r="24" customFormat="false" ht="30" hidden="false" customHeight="true" outlineLevel="0" collapsed="false">
      <c r="B24" s="40" t="n">
        <v>12</v>
      </c>
      <c r="C24" s="40" t="s">
        <v>932</v>
      </c>
      <c r="D24" s="40" t="s">
        <v>389</v>
      </c>
      <c r="E24" s="40" t="s">
        <v>933</v>
      </c>
      <c r="F24" s="40" t="s">
        <v>396</v>
      </c>
      <c r="G24" s="41" t="s">
        <v>900</v>
      </c>
      <c r="H24" s="40" t="s">
        <v>934</v>
      </c>
    </row>
    <row r="25" customFormat="false" ht="30" hidden="false" customHeight="true" outlineLevel="0" collapsed="false">
      <c r="B25" s="40" t="n">
        <v>13</v>
      </c>
      <c r="C25" s="40" t="s">
        <v>935</v>
      </c>
      <c r="D25" s="40" t="s">
        <v>541</v>
      </c>
      <c r="E25" s="40" t="s">
        <v>936</v>
      </c>
      <c r="F25" s="40" t="s">
        <v>937</v>
      </c>
      <c r="G25" s="41" t="s">
        <v>900</v>
      </c>
      <c r="H25" s="40" t="s">
        <v>938</v>
      </c>
    </row>
    <row r="26" customFormat="false" ht="30" hidden="false" customHeight="true" outlineLevel="0" collapsed="false">
      <c r="B26" s="40" t="n">
        <v>14</v>
      </c>
      <c r="C26" s="40" t="s">
        <v>939</v>
      </c>
      <c r="D26" s="40" t="s">
        <v>940</v>
      </c>
      <c r="E26" s="40" t="s">
        <v>941</v>
      </c>
      <c r="F26" s="40" t="s">
        <v>418</v>
      </c>
      <c r="G26" s="41" t="s">
        <v>900</v>
      </c>
      <c r="H26" s="40" t="s">
        <v>942</v>
      </c>
    </row>
    <row r="27" customFormat="false" ht="30" hidden="false" customHeight="true" outlineLevel="0" collapsed="false">
      <c r="B27" s="40" t="n">
        <v>15</v>
      </c>
      <c r="C27" s="40" t="s">
        <v>943</v>
      </c>
      <c r="D27" s="40" t="s">
        <v>914</v>
      </c>
      <c r="E27" s="41" t="s">
        <v>915</v>
      </c>
      <c r="F27" s="40" t="s">
        <v>944</v>
      </c>
      <c r="G27" s="41" t="s">
        <v>917</v>
      </c>
      <c r="H27" s="40" t="s">
        <v>945</v>
      </c>
    </row>
    <row r="28" customFormat="false" ht="30" hidden="false" customHeight="true" outlineLevel="0" collapsed="false">
      <c r="B28" s="40" t="n">
        <v>16</v>
      </c>
      <c r="C28" s="40" t="s">
        <v>946</v>
      </c>
      <c r="D28" s="40" t="s">
        <v>897</v>
      </c>
      <c r="E28" s="40" t="s">
        <v>947</v>
      </c>
      <c r="F28" s="40" t="s">
        <v>56</v>
      </c>
      <c r="G28" s="41" t="s">
        <v>911</v>
      </c>
      <c r="H28" s="40" t="s">
        <v>948</v>
      </c>
    </row>
    <row r="29" customFormat="false" ht="30" hidden="false" customHeight="true" outlineLevel="0" collapsed="false">
      <c r="B29" s="40" t="n">
        <v>17</v>
      </c>
      <c r="C29" s="40" t="s">
        <v>949</v>
      </c>
      <c r="D29" s="40" t="s">
        <v>914</v>
      </c>
      <c r="E29" s="40" t="s">
        <v>950</v>
      </c>
      <c r="F29" s="40" t="s">
        <v>951</v>
      </c>
      <c r="G29" s="41" t="s">
        <v>911</v>
      </c>
      <c r="H29" s="41" t="s">
        <v>952</v>
      </c>
    </row>
    <row r="30" customFormat="false" ht="30" hidden="false" customHeight="true" outlineLevel="0" collapsed="false">
      <c r="B30" s="40" t="n">
        <v>18</v>
      </c>
      <c r="C30" s="40" t="s">
        <v>953</v>
      </c>
      <c r="D30" s="40" t="s">
        <v>897</v>
      </c>
      <c r="E30" s="41" t="s">
        <v>954</v>
      </c>
      <c r="F30" s="40" t="s">
        <v>955</v>
      </c>
      <c r="G30" s="41" t="s">
        <v>911</v>
      </c>
      <c r="H30" s="41" t="s">
        <v>956</v>
      </c>
    </row>
    <row r="31" customFormat="false" ht="30" hidden="false" customHeight="true" outlineLevel="0" collapsed="false">
      <c r="B31" s="40" t="n">
        <v>19</v>
      </c>
      <c r="C31" s="40" t="s">
        <v>957</v>
      </c>
      <c r="D31" s="40" t="s">
        <v>914</v>
      </c>
      <c r="E31" s="40" t="s">
        <v>958</v>
      </c>
      <c r="F31" s="40" t="s">
        <v>959</v>
      </c>
      <c r="G31" s="41" t="s">
        <v>900</v>
      </c>
      <c r="H31" s="40" t="s">
        <v>960</v>
      </c>
    </row>
    <row r="32" customFormat="false" ht="30" hidden="false" customHeight="true" outlineLevel="0" collapsed="false">
      <c r="B32" s="40" t="n">
        <v>20</v>
      </c>
      <c r="C32" s="40" t="s">
        <v>961</v>
      </c>
      <c r="D32" s="40" t="s">
        <v>903</v>
      </c>
      <c r="E32" s="40" t="s">
        <v>962</v>
      </c>
      <c r="F32" s="40" t="s">
        <v>963</v>
      </c>
      <c r="G32" s="41" t="s">
        <v>900</v>
      </c>
      <c r="H32" s="40" t="s">
        <v>964</v>
      </c>
    </row>
    <row r="33" customFormat="false" ht="30" hidden="false" customHeight="true" outlineLevel="0" collapsed="false">
      <c r="B33" s="40" t="n">
        <v>21</v>
      </c>
      <c r="C33" s="40" t="s">
        <v>965</v>
      </c>
      <c r="D33" s="40" t="s">
        <v>966</v>
      </c>
      <c r="E33" s="40" t="s">
        <v>967</v>
      </c>
      <c r="F33" s="40" t="s">
        <v>968</v>
      </c>
      <c r="G33" s="41" t="s">
        <v>900</v>
      </c>
      <c r="H33" s="40" t="s">
        <v>969</v>
      </c>
    </row>
    <row r="34" customFormat="false" ht="30" hidden="false" customHeight="true" outlineLevel="0" collapsed="false">
      <c r="B34" s="40" t="n">
        <v>22</v>
      </c>
      <c r="C34" s="40" t="s">
        <v>970</v>
      </c>
      <c r="D34" s="40" t="s">
        <v>897</v>
      </c>
      <c r="E34" s="41" t="s">
        <v>915</v>
      </c>
      <c r="F34" s="40" t="s">
        <v>971</v>
      </c>
      <c r="G34" s="41" t="s">
        <v>917</v>
      </c>
      <c r="H34" s="40" t="s">
        <v>972</v>
      </c>
    </row>
    <row r="35" customFormat="false" ht="30" hidden="false" customHeight="true" outlineLevel="0" collapsed="false">
      <c r="B35" s="40" t="n">
        <v>23</v>
      </c>
      <c r="C35" s="40" t="s">
        <v>973</v>
      </c>
      <c r="D35" s="40" t="s">
        <v>897</v>
      </c>
      <c r="E35" s="40" t="s">
        <v>974</v>
      </c>
      <c r="F35" s="40" t="s">
        <v>975</v>
      </c>
      <c r="G35" s="41" t="s">
        <v>900</v>
      </c>
      <c r="H35" s="40" t="s">
        <v>976</v>
      </c>
    </row>
    <row r="36" customFormat="false" ht="30" hidden="false" customHeight="true" outlineLevel="0" collapsed="false">
      <c r="B36" s="40" t="n">
        <v>24</v>
      </c>
      <c r="C36" s="40" t="s">
        <v>977</v>
      </c>
      <c r="D36" s="40" t="s">
        <v>903</v>
      </c>
      <c r="E36" s="40" t="s">
        <v>978</v>
      </c>
      <c r="F36" s="40" t="s">
        <v>979</v>
      </c>
      <c r="G36" s="41" t="s">
        <v>900</v>
      </c>
      <c r="H36" s="40" t="s">
        <v>980</v>
      </c>
    </row>
    <row r="37" customFormat="false" ht="30" hidden="false" customHeight="true" outlineLevel="0" collapsed="false">
      <c r="B37" s="40" t="n">
        <v>25</v>
      </c>
      <c r="C37" s="40" t="s">
        <v>981</v>
      </c>
      <c r="D37" s="40" t="s">
        <v>903</v>
      </c>
      <c r="E37" s="40" t="s">
        <v>982</v>
      </c>
      <c r="F37" s="40" t="s">
        <v>678</v>
      </c>
      <c r="G37" s="41" t="s">
        <v>911</v>
      </c>
      <c r="H37" s="40" t="s">
        <v>983</v>
      </c>
    </row>
    <row r="38" customFormat="false" ht="30" hidden="false" customHeight="true" outlineLevel="0" collapsed="false">
      <c r="B38" s="40" t="n">
        <v>26</v>
      </c>
      <c r="C38" s="40" t="s">
        <v>984</v>
      </c>
      <c r="D38" s="40" t="s">
        <v>903</v>
      </c>
      <c r="E38" s="41" t="s">
        <v>915</v>
      </c>
      <c r="F38" s="40" t="s">
        <v>985</v>
      </c>
      <c r="G38" s="41" t="s">
        <v>917</v>
      </c>
      <c r="H38" s="40" t="s">
        <v>986</v>
      </c>
    </row>
    <row r="39" customFormat="false" ht="30" hidden="false" customHeight="true" outlineLevel="0" collapsed="false">
      <c r="B39" s="40" t="n">
        <v>27</v>
      </c>
      <c r="C39" s="40" t="s">
        <v>987</v>
      </c>
      <c r="D39" s="40" t="s">
        <v>914</v>
      </c>
      <c r="E39" s="41" t="s">
        <v>915</v>
      </c>
      <c r="F39" s="40" t="s">
        <v>988</v>
      </c>
      <c r="G39" s="41" t="s">
        <v>917</v>
      </c>
      <c r="H39" s="40" t="s">
        <v>684</v>
      </c>
    </row>
    <row r="40" customFormat="false" ht="30" hidden="false" customHeight="true" outlineLevel="0" collapsed="false">
      <c r="B40" s="40" t="n">
        <v>28</v>
      </c>
      <c r="C40" s="40" t="s">
        <v>989</v>
      </c>
      <c r="D40" s="40" t="s">
        <v>389</v>
      </c>
      <c r="E40" s="40" t="s">
        <v>990</v>
      </c>
      <c r="F40" s="40" t="s">
        <v>991</v>
      </c>
      <c r="G40" s="41" t="s">
        <v>900</v>
      </c>
      <c r="H40" s="40" t="s">
        <v>992</v>
      </c>
    </row>
    <row r="41" customFormat="false" ht="30" hidden="false" customHeight="true" outlineLevel="0" collapsed="false">
      <c r="B41" s="40" t="n">
        <v>29</v>
      </c>
      <c r="C41" s="40" t="s">
        <v>993</v>
      </c>
      <c r="D41" s="40" t="s">
        <v>389</v>
      </c>
      <c r="E41" s="40" t="s">
        <v>994</v>
      </c>
      <c r="F41" s="40" t="s">
        <v>995</v>
      </c>
      <c r="G41" s="41" t="s">
        <v>900</v>
      </c>
      <c r="H41" s="41" t="s">
        <v>996</v>
      </c>
    </row>
    <row r="42" customFormat="false" ht="30" hidden="false" customHeight="true" outlineLevel="0" collapsed="false">
      <c r="B42" s="40" t="n">
        <v>30</v>
      </c>
      <c r="C42" s="40" t="s">
        <v>997</v>
      </c>
      <c r="D42" s="40" t="s">
        <v>321</v>
      </c>
      <c r="E42" s="40" t="s">
        <v>998</v>
      </c>
      <c r="F42" s="40" t="s">
        <v>999</v>
      </c>
      <c r="G42" s="41" t="s">
        <v>911</v>
      </c>
      <c r="H42" s="40" t="s">
        <v>684</v>
      </c>
    </row>
    <row r="43" customFormat="false" ht="30" hidden="false" customHeight="true" outlineLevel="0" collapsed="false">
      <c r="B43" s="40" t="n">
        <v>31</v>
      </c>
      <c r="C43" s="40" t="s">
        <v>1000</v>
      </c>
      <c r="D43" s="40" t="s">
        <v>344</v>
      </c>
      <c r="E43" s="40" t="s">
        <v>1001</v>
      </c>
      <c r="F43" s="40" t="s">
        <v>1002</v>
      </c>
      <c r="G43" s="41" t="s">
        <v>911</v>
      </c>
      <c r="H43" s="41" t="s">
        <v>1003</v>
      </c>
    </row>
    <row r="44" customFormat="false" ht="30" hidden="false" customHeight="true" outlineLevel="0" collapsed="false">
      <c r="B44" s="40" t="n">
        <v>32</v>
      </c>
      <c r="C44" s="40" t="s">
        <v>1004</v>
      </c>
      <c r="D44" s="40" t="s">
        <v>1005</v>
      </c>
      <c r="E44" s="40" t="s">
        <v>1006</v>
      </c>
      <c r="F44" s="40" t="s">
        <v>1007</v>
      </c>
      <c r="G44" s="41" t="s">
        <v>911</v>
      </c>
      <c r="H44" s="40" t="s">
        <v>684</v>
      </c>
    </row>
    <row r="45" customFormat="false" ht="30" hidden="false" customHeight="true" outlineLevel="0" collapsed="false">
      <c r="B45" s="40" t="n">
        <v>33</v>
      </c>
      <c r="C45" s="40" t="s">
        <v>1008</v>
      </c>
      <c r="D45" s="40" t="s">
        <v>1009</v>
      </c>
      <c r="E45" s="40" t="s">
        <v>1010</v>
      </c>
      <c r="F45" s="40" t="s">
        <v>1011</v>
      </c>
      <c r="G45" s="41" t="s">
        <v>900</v>
      </c>
      <c r="H45" s="40" t="s">
        <v>1012</v>
      </c>
    </row>
    <row r="46" customFormat="false" ht="30" hidden="false" customHeight="true" outlineLevel="0" collapsed="false">
      <c r="B46" s="40" t="n">
        <v>34</v>
      </c>
      <c r="C46" s="40" t="s">
        <v>1013</v>
      </c>
      <c r="D46" s="40" t="s">
        <v>1014</v>
      </c>
      <c r="E46" s="40" t="s">
        <v>1015</v>
      </c>
      <c r="F46" s="40" t="s">
        <v>1016</v>
      </c>
      <c r="G46" s="41" t="s">
        <v>900</v>
      </c>
      <c r="H46" s="41" t="s">
        <v>1017</v>
      </c>
    </row>
    <row r="47" customFormat="false" ht="30" hidden="false" customHeight="true" outlineLevel="0" collapsed="false">
      <c r="B47" s="40" t="n">
        <v>35</v>
      </c>
      <c r="C47" s="40" t="s">
        <v>1018</v>
      </c>
      <c r="D47" s="40" t="s">
        <v>966</v>
      </c>
      <c r="E47" s="41" t="s">
        <v>915</v>
      </c>
      <c r="F47" s="40" t="s">
        <v>1019</v>
      </c>
      <c r="G47" s="41" t="s">
        <v>917</v>
      </c>
      <c r="H47" s="41" t="s">
        <v>1020</v>
      </c>
    </row>
    <row r="48" customFormat="false" ht="30" hidden="false" customHeight="true" outlineLevel="0" collapsed="false">
      <c r="B48" s="40" t="n">
        <v>36</v>
      </c>
      <c r="C48" s="40" t="s">
        <v>1021</v>
      </c>
      <c r="D48" s="40" t="s">
        <v>966</v>
      </c>
      <c r="E48" s="41" t="s">
        <v>1022</v>
      </c>
      <c r="F48" s="40" t="s">
        <v>1023</v>
      </c>
      <c r="G48" s="41" t="s">
        <v>900</v>
      </c>
      <c r="H48" s="40" t="s">
        <v>1024</v>
      </c>
    </row>
    <row r="49" customFormat="false" ht="30" hidden="false" customHeight="true" outlineLevel="0" collapsed="false">
      <c r="B49" s="40" t="n">
        <v>37</v>
      </c>
      <c r="C49" s="40" t="s">
        <v>1025</v>
      </c>
      <c r="D49" s="40" t="s">
        <v>966</v>
      </c>
      <c r="E49" s="41" t="s">
        <v>915</v>
      </c>
      <c r="F49" s="40" t="s">
        <v>388</v>
      </c>
      <c r="G49" s="41" t="s">
        <v>917</v>
      </c>
      <c r="H49" s="41" t="s">
        <v>1026</v>
      </c>
    </row>
    <row r="50" customFormat="false" ht="30" hidden="false" customHeight="true" outlineLevel="0" collapsed="false">
      <c r="B50" s="40" t="n">
        <v>38</v>
      </c>
      <c r="C50" s="40" t="s">
        <v>1027</v>
      </c>
      <c r="D50" s="40" t="s">
        <v>626</v>
      </c>
      <c r="E50" s="40" t="s">
        <v>1028</v>
      </c>
      <c r="F50" s="40" t="s">
        <v>638</v>
      </c>
      <c r="G50" s="41" t="s">
        <v>911</v>
      </c>
      <c r="H50" s="40" t="s">
        <v>684</v>
      </c>
    </row>
    <row r="51" customFormat="false" ht="30" hidden="false" customHeight="true" outlineLevel="0" collapsed="false">
      <c r="B51" s="40" t="n">
        <v>39</v>
      </c>
      <c r="C51" s="40" t="s">
        <v>1029</v>
      </c>
      <c r="D51" s="40" t="s">
        <v>1030</v>
      </c>
      <c r="E51" s="41" t="s">
        <v>1031</v>
      </c>
      <c r="F51" s="41" t="s">
        <v>1032</v>
      </c>
      <c r="G51" s="41" t="s">
        <v>1033</v>
      </c>
      <c r="H51" s="40" t="s">
        <v>1034</v>
      </c>
    </row>
    <row r="53" customFormat="false" ht="15" hidden="false" customHeight="true" outlineLevel="0" collapsed="false">
      <c r="B53" s="38" t="s">
        <v>1035</v>
      </c>
    </row>
    <row r="54" customFormat="false" ht="15" hidden="false" customHeight="true" outlineLevel="0" collapsed="false">
      <c r="B54" s="39" t="s">
        <v>1036</v>
      </c>
      <c r="C54" s="42" t="s">
        <v>1037</v>
      </c>
      <c r="D54" s="42"/>
      <c r="E54" s="42"/>
      <c r="F54" s="42"/>
      <c r="G54" s="42"/>
      <c r="H54" s="42"/>
    </row>
    <row r="55" customFormat="false" ht="27.75" hidden="false" customHeight="true" outlineLevel="0" collapsed="false">
      <c r="B55" s="40" t="s">
        <v>1038</v>
      </c>
      <c r="C55" s="40" t="s">
        <v>1039</v>
      </c>
      <c r="D55" s="40"/>
      <c r="E55" s="40"/>
      <c r="F55" s="40"/>
      <c r="G55" s="40"/>
      <c r="H55" s="40"/>
    </row>
    <row r="56" customFormat="false" ht="27.75" hidden="false" customHeight="true" outlineLevel="0" collapsed="false">
      <c r="B56" s="40" t="s">
        <v>1040</v>
      </c>
      <c r="C56" s="40" t="s">
        <v>1041</v>
      </c>
      <c r="D56" s="40"/>
      <c r="E56" s="40"/>
      <c r="F56" s="40"/>
      <c r="G56" s="40"/>
      <c r="H56" s="40"/>
    </row>
    <row r="57" customFormat="false" ht="27.75" hidden="false" customHeight="true" outlineLevel="0" collapsed="false">
      <c r="B57" s="40" t="s">
        <v>1042</v>
      </c>
      <c r="C57" s="40" t="s">
        <v>1043</v>
      </c>
      <c r="D57" s="40"/>
      <c r="E57" s="40"/>
      <c r="F57" s="40"/>
      <c r="G57" s="40"/>
      <c r="H57" s="40"/>
    </row>
    <row r="58" customFormat="false" ht="27.75" hidden="false" customHeight="true" outlineLevel="0" collapsed="false">
      <c r="B58" s="40" t="s">
        <v>1044</v>
      </c>
      <c r="C58" s="40" t="s">
        <v>1045</v>
      </c>
      <c r="D58" s="40"/>
      <c r="E58" s="40"/>
      <c r="F58" s="40"/>
      <c r="G58" s="40"/>
      <c r="H58" s="40"/>
    </row>
    <row r="59" customFormat="false" ht="27.75" hidden="false" customHeight="true" outlineLevel="0" collapsed="false">
      <c r="B59" s="40" t="s">
        <v>1046</v>
      </c>
      <c r="C59" s="40" t="s">
        <v>1047</v>
      </c>
      <c r="D59" s="40"/>
      <c r="E59" s="40"/>
      <c r="F59" s="40"/>
      <c r="G59" s="40"/>
      <c r="H59" s="40"/>
    </row>
    <row r="60" customFormat="false" ht="27.75" hidden="false" customHeight="true" outlineLevel="0" collapsed="false">
      <c r="B60" s="40" t="s">
        <v>1048</v>
      </c>
      <c r="C60" s="40" t="s">
        <v>1049</v>
      </c>
      <c r="D60" s="40"/>
      <c r="E60" s="40"/>
      <c r="F60" s="40"/>
      <c r="G60" s="40"/>
      <c r="H60" s="40"/>
    </row>
    <row r="61" customFormat="false" ht="27.75" hidden="false" customHeight="true" outlineLevel="0" collapsed="false">
      <c r="B61" s="40" t="s">
        <v>1050</v>
      </c>
      <c r="C61" s="40" t="s">
        <v>1051</v>
      </c>
      <c r="D61" s="40"/>
      <c r="E61" s="40"/>
      <c r="F61" s="40"/>
      <c r="G61" s="40"/>
      <c r="H61" s="40"/>
    </row>
    <row r="62" customFormat="false" ht="27.75" hidden="false" customHeight="true" outlineLevel="0" collapsed="false">
      <c r="B62" s="40" t="s">
        <v>1052</v>
      </c>
      <c r="C62" s="40" t="s">
        <v>1053</v>
      </c>
      <c r="D62" s="40"/>
      <c r="E62" s="40"/>
      <c r="F62" s="40"/>
      <c r="G62" s="40"/>
      <c r="H62" s="40"/>
    </row>
    <row r="63" customFormat="false" ht="27.75" hidden="false" customHeight="true" outlineLevel="0" collapsed="false">
      <c r="B63" s="40" t="s">
        <v>1054</v>
      </c>
      <c r="C63" s="40" t="s">
        <v>1055</v>
      </c>
      <c r="D63" s="40"/>
      <c r="E63" s="40"/>
      <c r="F63" s="40"/>
      <c r="G63" s="40"/>
      <c r="H63" s="40"/>
    </row>
    <row r="64" customFormat="false" ht="27.75" hidden="false" customHeight="true" outlineLevel="0" collapsed="false">
      <c r="B64" s="41" t="s">
        <v>1056</v>
      </c>
      <c r="C64" s="40" t="s">
        <v>1057</v>
      </c>
      <c r="D64" s="40"/>
      <c r="E64" s="40"/>
      <c r="F64" s="40"/>
      <c r="G64" s="40"/>
      <c r="H64" s="40"/>
    </row>
    <row r="65" customFormat="false" ht="27.75" hidden="false" customHeight="true" outlineLevel="0" collapsed="false">
      <c r="B65" s="41" t="s">
        <v>1058</v>
      </c>
      <c r="C65" s="40" t="s">
        <v>1059</v>
      </c>
      <c r="D65" s="40"/>
      <c r="E65" s="40"/>
      <c r="F65" s="40"/>
      <c r="G65" s="40"/>
      <c r="H65" s="40"/>
    </row>
    <row r="66" customFormat="false" ht="27.75" hidden="false" customHeight="true" outlineLevel="0" collapsed="false">
      <c r="B66" s="40" t="s">
        <v>1060</v>
      </c>
      <c r="C66" s="40" t="s">
        <v>1061</v>
      </c>
      <c r="D66" s="40"/>
      <c r="E66" s="40"/>
      <c r="F66" s="40"/>
      <c r="G66" s="40"/>
      <c r="H66" s="40"/>
    </row>
    <row r="67" customFormat="false" ht="27.75" hidden="false" customHeight="true" outlineLevel="0" collapsed="false">
      <c r="B67" s="40" t="s">
        <v>1062</v>
      </c>
      <c r="C67" s="40" t="s">
        <v>1063</v>
      </c>
      <c r="D67" s="40"/>
      <c r="E67" s="40"/>
      <c r="F67" s="40"/>
      <c r="G67" s="40"/>
      <c r="H67" s="40"/>
    </row>
    <row r="69" customFormat="false" ht="31" hidden="false" customHeight="false" outlineLevel="0" collapsed="false">
      <c r="B69" s="43" t="s">
        <v>1064</v>
      </c>
    </row>
    <row r="70" customFormat="false" ht="30" hidden="false" customHeight="true" outlineLevel="0" collapsed="false">
      <c r="B70" s="44" t="s">
        <v>1065</v>
      </c>
    </row>
    <row r="71" customFormat="false" ht="60" hidden="false" customHeight="true" outlineLevel="0" collapsed="false">
      <c r="B71" s="44" t="s">
        <v>1066</v>
      </c>
    </row>
    <row r="72" customFormat="false" ht="15" hidden="false" customHeight="true" outlineLevel="0" collapsed="false">
      <c r="B72" s="44" t="s">
        <v>1067</v>
      </c>
    </row>
    <row r="73" customFormat="false" ht="30" hidden="false" customHeight="true" outlineLevel="0" collapsed="false">
      <c r="B73" s="44" t="s">
        <v>1068</v>
      </c>
    </row>
    <row r="74" customFormat="false" ht="75" hidden="false" customHeight="true" outlineLevel="0" collapsed="false">
      <c r="B74" s="44" t="s">
        <v>1069</v>
      </c>
    </row>
    <row r="75" customFormat="false" ht="60" hidden="false" customHeight="true" outlineLevel="0" collapsed="false">
      <c r="B75" s="44" t="s">
        <v>1070</v>
      </c>
    </row>
    <row r="76" customFormat="false" ht="15" hidden="false" customHeight="true" outlineLevel="0" collapsed="false">
      <c r="B76" s="44" t="s">
        <v>1071</v>
      </c>
    </row>
    <row r="77" customFormat="false" ht="60" hidden="false" customHeight="true" outlineLevel="0" collapsed="false">
      <c r="B77" s="45" t="s">
        <v>1072</v>
      </c>
    </row>
    <row r="78" customFormat="false" ht="30" hidden="false" customHeight="true" outlineLevel="0" collapsed="false">
      <c r="B78" s="45" t="s">
        <v>1073</v>
      </c>
    </row>
    <row r="79" customFormat="false" ht="60" hidden="false" customHeight="true" outlineLevel="0" collapsed="false">
      <c r="B79" s="45" t="s">
        <v>1074</v>
      </c>
    </row>
    <row r="80" customFormat="false" ht="45" hidden="false" customHeight="true" outlineLevel="0" collapsed="false">
      <c r="B80" s="45" t="s">
        <v>1075</v>
      </c>
    </row>
    <row r="81" customFormat="false" ht="45" hidden="false" customHeight="true" outlineLevel="0" collapsed="false">
      <c r="B81" s="45" t="s">
        <v>1076</v>
      </c>
    </row>
    <row r="82" customFormat="false" ht="45" hidden="false" customHeight="true" outlineLevel="0" collapsed="false">
      <c r="B82" s="45" t="s">
        <v>1077</v>
      </c>
    </row>
    <row r="83" customFormat="false" ht="16.8" hidden="false" customHeight="false" outlineLevel="0" collapsed="false">
      <c r="B83" s="45" t="s">
        <v>1078</v>
      </c>
    </row>
    <row r="84" customFormat="false" ht="16.8" hidden="false" customHeight="false" outlineLevel="0" collapsed="false">
      <c r="B84" s="45" t="s">
        <v>1079</v>
      </c>
    </row>
    <row r="85" customFormat="false" ht="16.8" hidden="false" customHeight="false" outlineLevel="0" collapsed="false">
      <c r="B85" s="45" t="s">
        <v>1080</v>
      </c>
    </row>
    <row r="86" customFormat="false" ht="16.8" hidden="false" customHeight="false" outlineLevel="0" collapsed="false">
      <c r="B86" s="45" t="s">
        <v>1081</v>
      </c>
    </row>
    <row r="87" customFormat="false" ht="16.8" hidden="false" customHeight="false" outlineLevel="0" collapsed="false">
      <c r="B87" s="45" t="s">
        <v>1082</v>
      </c>
    </row>
    <row r="88" customFormat="false" ht="16.8" hidden="false" customHeight="false" outlineLevel="0" collapsed="false">
      <c r="B88" s="45" t="s">
        <v>1083</v>
      </c>
    </row>
    <row r="89" customFormat="false" ht="16.8" hidden="false" customHeight="false" outlineLevel="0" collapsed="false">
      <c r="B89" s="45" t="s">
        <v>1084</v>
      </c>
    </row>
    <row r="90" customFormat="false" ht="16.8" hidden="false" customHeight="false" outlineLevel="0" collapsed="false">
      <c r="B90" s="45" t="s">
        <v>1085</v>
      </c>
    </row>
    <row r="91" customFormat="false" ht="16.8" hidden="false" customHeight="false" outlineLevel="0" collapsed="false">
      <c r="B91" s="45" t="s">
        <v>1086</v>
      </c>
    </row>
    <row r="92" customFormat="false" ht="16.8" hidden="false" customHeight="false" outlineLevel="0" collapsed="false">
      <c r="B92" s="45" t="s">
        <v>1087</v>
      </c>
    </row>
    <row r="93" customFormat="false" ht="16.8" hidden="false" customHeight="false" outlineLevel="0" collapsed="false">
      <c r="B93" s="45" t="s">
        <v>1088</v>
      </c>
    </row>
    <row r="94" customFormat="false" ht="16.8" hidden="false" customHeight="false" outlineLevel="0" collapsed="false">
      <c r="B94" s="45" t="s">
        <v>1089</v>
      </c>
    </row>
    <row r="95" customFormat="false" ht="16.8" hidden="false" customHeight="false" outlineLevel="0" collapsed="false">
      <c r="B95" s="45" t="s">
        <v>1090</v>
      </c>
    </row>
    <row r="96" customFormat="false" ht="16.8" hidden="false" customHeight="false" outlineLevel="0" collapsed="false">
      <c r="B96" s="45" t="s">
        <v>1091</v>
      </c>
    </row>
    <row r="97" customFormat="false" ht="16.8" hidden="false" customHeight="false" outlineLevel="0" collapsed="false">
      <c r="B97" s="45" t="s">
        <v>1092</v>
      </c>
    </row>
    <row r="98" customFormat="false" ht="16.8" hidden="false" customHeight="false" outlineLevel="0" collapsed="false">
      <c r="B98" s="45" t="s">
        <v>1093</v>
      </c>
    </row>
    <row r="99" customFormat="false" ht="16.8" hidden="false" customHeight="false" outlineLevel="0" collapsed="false">
      <c r="B99" s="45" t="s">
        <v>1094</v>
      </c>
    </row>
    <row r="100" customFormat="false" ht="18" hidden="false" customHeight="false" outlineLevel="0" collapsed="false">
      <c r="B100" s="45" t="s">
        <v>1095</v>
      </c>
    </row>
    <row r="101" customFormat="false" ht="18" hidden="false" customHeight="false" outlineLevel="0" collapsed="false">
      <c r="B101" s="45" t="s">
        <v>1096</v>
      </c>
    </row>
    <row r="102" customFormat="false" ht="18" hidden="false" customHeight="false" outlineLevel="0" collapsed="false">
      <c r="B102" s="45" t="s">
        <v>1097</v>
      </c>
    </row>
    <row r="103" customFormat="false" ht="18" hidden="false" customHeight="false" outlineLevel="0" collapsed="false">
      <c r="B103" s="45" t="s">
        <v>1098</v>
      </c>
    </row>
  </sheetData>
  <mergeCells count="20">
    <mergeCell ref="B4:J4"/>
    <mergeCell ref="B5:J5"/>
    <mergeCell ref="B6:J6"/>
    <mergeCell ref="B7:J7"/>
    <mergeCell ref="B8:J8"/>
    <mergeCell ref="B9:J9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67:H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2023-09-12T22:44:00Z</dcterms:created>
  <dc:creator>Administrator</dc:creator>
  <dc:description/>
  <dc:language>en-US</dc:language>
  <cp:lastModifiedBy/>
  <dcterms:modified xsi:type="dcterms:W3CDTF">2026-08-29T09:13:37Z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1C877A8E9D339C13E27BA3661272785C_43</vt:lpwstr>
  </property>
  <property fmtid="{D5CDD505-2E9C-101B-9397-08002B2CF9AE}" pid="3" name="KSOProductBuildVer">
    <vt:lpwstr>2052-6.7.1.8828</vt:lpwstr>
  </property>
</Properties>
</file>